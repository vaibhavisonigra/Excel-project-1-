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C07D60-B049-4517-BE16-452708405C24}" xr6:coauthVersionLast="47" xr6:coauthVersionMax="47" xr10:uidLastSave="{00000000-0000-0000-0000-000000000000}"/>
  <bookViews>
    <workbookView xWindow="-110" yWindow="-110" windowWidth="19420" windowHeight="10300" xr2:uid="{42003611-ADF9-4BF9-90C9-55462421DF4D}"/>
  </bookViews>
  <sheets>
    <sheet name="main task" sheetId="4" r:id="rId1"/>
    <sheet name="Student Name" sheetId="1" r:id="rId2"/>
    <sheet name="Sales Data" sheetId="2" r:id="rId3"/>
    <sheet name="Employee 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4" l="1"/>
  <c r="C23" i="4"/>
  <c r="G16" i="4"/>
  <c r="G17" i="4"/>
  <c r="G15" i="4"/>
  <c r="D10" i="4"/>
  <c r="D11" i="4"/>
  <c r="D9" i="4"/>
  <c r="D3" i="4"/>
  <c r="D4" i="4"/>
  <c r="D5" i="4"/>
  <c r="D2" i="4"/>
  <c r="C3" i="4"/>
  <c r="C4" i="4"/>
  <c r="C5" i="4"/>
  <c r="C2" i="4"/>
  <c r="F23" i="4" s="1" a="1"/>
  <c r="F23" i="4" s="1"/>
  <c r="I3" i="3"/>
  <c r="I2" i="3"/>
  <c r="H2" i="3"/>
  <c r="F2" i="3"/>
  <c r="G2" i="3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8" i="1"/>
  <c r="M19" i="1"/>
  <c r="M20" i="1"/>
  <c r="M21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M15" i="1" s="1"/>
  <c r="I16" i="1"/>
  <c r="M16" i="1" s="1"/>
  <c r="I17" i="1"/>
  <c r="M17" i="1" s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2" i="1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<sst xmlns="http://schemas.openxmlformats.org/spreadsheetml/2006/main" count="273" uniqueCount="170">
  <si>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</si>
  <si>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</si>
  <si>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</si>
  <si>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</si>
  <si>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</si>
  <si>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</si>
  <si>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</si>
  <si>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</si>
  <si>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</si>
  <si>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</si>
  <si>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</si>
  <si>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</si>
  <si>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</si>
  <si>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</si>
  <si>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</si>
  <si>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</si>
  <si>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</si>
  <si>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</si>
  <si>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</si>
  <si>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</si>
  <si>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</si>
  <si>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</si>
  <si>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</si>
  <si>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</si>
  <si>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</si>
  <si>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</si>
  <si>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</si>
  <si>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</si>
  <si>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</si>
  <si>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</si>
  <si>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</si>
  <si>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</si>
  <si>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</si>
  <si>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</si>
  <si>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</si>
  <si>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</si>
  <si>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</si>
  <si>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</si>
  <si>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</si>
  <si>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</si>
  <si>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</si>
  <si>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</si>
  <si>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</si>
  <si>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</si>
  <si>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</si>
  <si>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</si>
  <si>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</si>
  <si>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</si>
  <si>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</si>
  <si>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</si>
  <si>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</si>
  <si>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</si>
  <si>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</si>
  <si>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</si>
  <si>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</si>
  <si>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</si>
  <si>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</si>
  <si>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</si>
  <si>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</si>
  <si>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</si>
  <si>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</si>
  <si>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</si>
  <si>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</si>
  <si>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</si>
  <si>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</si>
  <si>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</si>
  <si>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</si>
  <si>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</si>
  <si>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</si>
  <si>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</si>
  <si>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</si>
  <si>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</si>
  <si>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</si>
  <si>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</si>
  <si>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</si>
  <si>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</si>
  <si>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</si>
  <si>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</si>
  <si>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</si>
  <si>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</si>
  <si>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</si>
  <si>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</si>
  <si>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</si>
  <si>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</si>
  <si>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</si>
  <si>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</si>
  <si>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</si>
  <si>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</si>
  <si>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</si>
  <si>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IF FORMULA</t>
  </si>
  <si>
    <t>COUNTIFS</t>
  </si>
  <si>
    <t>AVERGEIFS</t>
  </si>
  <si>
    <t>IF + AND</t>
  </si>
  <si>
    <t>UPPER</t>
  </si>
  <si>
    <t>LOWER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</si>
  <si>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</si>
  <si>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</si>
  <si>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</si>
  <si>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</si>
  <si>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</si>
  <si>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</si>
  <si>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</si>
  <si>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</si>
  <si>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</si>
  <si>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</si>
  <si>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</si>
  <si>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</si>
  <si>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</si>
  <si>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</si>
  <si>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</si>
  <si>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</si>
  <si>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</si>
  <si>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</si>
  <si>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</si>
  <si>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ROUND</t>
  </si>
  <si>
    <t>Relative</t>
  </si>
  <si>
    <t>SUMIFS</t>
  </si>
  <si>
    <t>IF + OR</t>
  </si>
  <si>
    <t>VLLOKUP</t>
  </si>
  <si>
    <t>INDEX + MATCH</t>
  </si>
  <si>
    <t>XLOOKUP</t>
  </si>
  <si>
    <t xml:space="preserve">                                                Formula Cheat Sheet</t>
  </si>
  <si>
    <t xml:space="preserve">                       Topic</t>
  </si>
  <si>
    <t xml:space="preserve">                                 Formula</t>
  </si>
  <si>
    <t>AVERAGEIFS</t>
  </si>
  <si>
    <t xml:space="preserve"> =AVERAGEIFS(C2:C21,C2:C21,"&gt;60")</t>
  </si>
  <si>
    <t xml:space="preserve"> =IF(AND(C2&gt;80,D2&gt;80),"Yes","No")</t>
  </si>
  <si>
    <t>Relative Reference</t>
  </si>
  <si>
    <t xml:space="preserve">  =COUNTIF(C2:C21,"&gt;60")</t>
  </si>
  <si>
    <t xml:space="preserve"> IF FORMULA</t>
  </si>
  <si>
    <t xml:space="preserve"> =IF(C2&gt;=90,"A",IF(C2&gt;=70,"B","C"))</t>
  </si>
  <si>
    <t xml:space="preserve">  Formula</t>
  </si>
  <si>
    <t>Topic</t>
  </si>
  <si>
    <t xml:space="preserve">   =UPPER(B2)</t>
  </si>
  <si>
    <t xml:space="preserve"> =LOWER(B2)</t>
  </si>
  <si>
    <t xml:space="preserve">  =ROUND(I2,2)</t>
  </si>
  <si>
    <t xml:space="preserve"> =C2*D2*E2</t>
  </si>
  <si>
    <t>Absolute Reference</t>
  </si>
  <si>
    <t xml:space="preserve">  =SUMIFS($E$2:$E$21,$C$2:$C$21,C2)</t>
  </si>
  <si>
    <t xml:space="preserve"> =IF(OR(E2&gt;=7000,B2="Keyboard"),"Eligible","Not Eligible")</t>
  </si>
  <si>
    <t xml:space="preserve">   Absolute</t>
  </si>
  <si>
    <t xml:space="preserve">  Percentage</t>
  </si>
  <si>
    <t xml:space="preserve">  =E2*$I$2</t>
  </si>
  <si>
    <t>VLOOKUP</t>
  </si>
  <si>
    <t>INDEX/MATCH</t>
  </si>
  <si>
    <t xml:space="preserve">  =VLOOKUP(A2,$A$2:$E$21,2,FALSE)</t>
  </si>
  <si>
    <t xml:space="preserve"> =XLOOKUP($F$2,$A$2:$A$21,$B$2:$B$21,"Not Found")</t>
  </si>
  <si>
    <t xml:space="preserve"> =INDEX($D$2:$D$21,MATCH(A2,$A$2:$A$21,0))</t>
  </si>
  <si>
    <t>Students</t>
  </si>
  <si>
    <t>Rahul</t>
  </si>
  <si>
    <t>Priya</t>
  </si>
  <si>
    <t>Amit</t>
  </si>
  <si>
    <t>Neha</t>
  </si>
  <si>
    <t>Marks</t>
  </si>
  <si>
    <t>Grade</t>
  </si>
  <si>
    <t>Product ID</t>
  </si>
  <si>
    <t>P101</t>
  </si>
  <si>
    <t>P102</t>
  </si>
  <si>
    <t>P103</t>
  </si>
  <si>
    <t>Price</t>
  </si>
  <si>
    <t xml:space="preserve">Employee ID </t>
  </si>
  <si>
    <t>Salary Result</t>
  </si>
  <si>
    <t>15-05-2016</t>
  </si>
  <si>
    <t>20-01-2017</t>
  </si>
  <si>
    <t>27-09-2017</t>
  </si>
  <si>
    <t>Joining Year</t>
  </si>
  <si>
    <t>Joining Month</t>
  </si>
  <si>
    <t>January</t>
  </si>
  <si>
    <t>September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</si>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</sst>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dd\-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15" fillId="0" borderId="0"/>
    <xf numFmtId="0" fontId="19" fillId="9" borderId="0" applyNumberFormat="0" applyBorder="0" applyAlignment="0" applyProtection="0"/>
  </cellStyleXfs>
  <cellXfs count="10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2" fontId="3" fillId="0" borderId="1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2" xfId="2" applyFont="1" applyBorder="1" applyAlignment="1">
      <alignment horizont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/>
    </xf>
    <xf numFmtId="0" fontId="2" fillId="2" borderId="6" xfId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9" fontId="8" fillId="3" borderId="1" xfId="2" applyNumberFormat="1" applyFont="1" applyFill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5" fillId="0" borderId="0" xfId="2"/>
    <xf numFmtId="0" fontId="7" fillId="0" borderId="5" xfId="2" applyFont="1" applyBorder="1"/>
    <xf numFmtId="0" fontId="2" fillId="2" borderId="7" xfId="2" applyFont="1" applyFill="1" applyBorder="1" applyAlignment="1">
      <alignment horizontal="center"/>
    </xf>
    <xf numFmtId="0" fontId="8" fillId="0" borderId="6" xfId="2" applyFont="1" applyBorder="1"/>
    <xf numFmtId="0" fontId="0" fillId="0" borderId="6" xfId="0" applyBorder="1"/>
    <xf numFmtId="0" fontId="9" fillId="0" borderId="0" xfId="0" applyFont="1"/>
    <xf numFmtId="0" fontId="9" fillId="0" borderId="4" xfId="0" applyFont="1" applyBorder="1"/>
    <xf numFmtId="0" fontId="9" fillId="0" borderId="5" xfId="0" applyFont="1" applyBorder="1"/>
    <xf numFmtId="0" fontId="0" fillId="0" borderId="20" xfId="0" applyBorder="1"/>
    <xf numFmtId="0" fontId="11" fillId="7" borderId="23" xfId="2" applyFont="1" applyFill="1" applyBorder="1"/>
    <xf numFmtId="0" fontId="11" fillId="8" borderId="23" xfId="2" applyFont="1" applyFill="1" applyBorder="1"/>
    <xf numFmtId="0" fontId="12" fillId="2" borderId="22" xfId="2" applyFont="1" applyFill="1" applyBorder="1"/>
    <xf numFmtId="0" fontId="17" fillId="0" borderId="0" xfId="0" applyFont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9" fillId="0" borderId="13" xfId="0" applyFont="1" applyBorder="1"/>
    <xf numFmtId="0" fontId="9" fillId="0" borderId="8" xfId="0" applyFont="1" applyBorder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0" xfId="0" applyFont="1"/>
    <xf numFmtId="0" fontId="9" fillId="0" borderId="20" xfId="0" applyFont="1" applyBorder="1"/>
    <xf numFmtId="0" fontId="10" fillId="4" borderId="17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10" xfId="0" applyFont="1" applyBorder="1"/>
    <xf numFmtId="0" fontId="9" fillId="0" borderId="12" xfId="0" applyFont="1" applyBorder="1"/>
    <xf numFmtId="0" fontId="14" fillId="6" borderId="2" xfId="2" applyFont="1" applyFill="1" applyBorder="1"/>
    <xf numFmtId="0" fontId="7" fillId="0" borderId="9" xfId="2" applyFont="1" applyBorder="1"/>
    <xf numFmtId="0" fontId="7" fillId="0" borderId="3" xfId="2" applyFont="1" applyBorder="1"/>
    <xf numFmtId="0" fontId="6" fillId="0" borderId="2" xfId="2" applyFont="1" applyBorder="1"/>
    <xf numFmtId="0" fontId="8" fillId="0" borderId="4" xfId="2" applyFont="1" applyBorder="1"/>
    <xf numFmtId="0" fontId="7" fillId="0" borderId="5" xfId="2" applyFont="1" applyBorder="1"/>
    <xf numFmtId="0" fontId="8" fillId="0" borderId="13" xfId="2" applyFont="1" applyBorder="1"/>
    <xf numFmtId="0" fontId="7" fillId="0" borderId="8" xfId="2" applyFont="1" applyBorder="1"/>
    <xf numFmtId="0" fontId="13" fillId="0" borderId="13" xfId="2" applyFont="1" applyBorder="1"/>
    <xf numFmtId="0" fontId="7" fillId="0" borderId="14" xfId="2" applyFont="1" applyBorder="1"/>
    <xf numFmtId="0" fontId="8" fillId="0" borderId="10" xfId="2" applyFont="1" applyBorder="1"/>
    <xf numFmtId="0" fontId="7" fillId="0" borderId="12" xfId="2" applyFont="1" applyBorder="1"/>
    <xf numFmtId="0" fontId="5" fillId="0" borderId="0" xfId="2"/>
    <xf numFmtId="0" fontId="7" fillId="0" borderId="11" xfId="2" applyFont="1" applyBorder="1"/>
    <xf numFmtId="0" fontId="2" fillId="2" borderId="2" xfId="2" applyFont="1" applyFill="1" applyBorder="1" applyAlignment="1">
      <alignment horizontal="center"/>
    </xf>
    <xf numFmtId="0" fontId="13" fillId="0" borderId="13" xfId="3" applyFont="1" applyBorder="1"/>
    <xf numFmtId="0" fontId="16" fillId="0" borderId="8" xfId="3" applyFont="1" applyBorder="1"/>
    <xf numFmtId="0" fontId="16" fillId="0" borderId="14" xfId="3" applyFont="1" applyBorder="1"/>
    <xf numFmtId="0" fontId="14" fillId="0" borderId="2" xfId="3" applyFont="1" applyBorder="1"/>
    <xf numFmtId="0" fontId="16" fillId="0" borderId="3" xfId="3" applyFont="1" applyBorder="1"/>
    <xf numFmtId="0" fontId="14" fillId="5" borderId="2" xfId="3" applyFont="1" applyFill="1" applyBorder="1"/>
    <xf numFmtId="0" fontId="16" fillId="0" borderId="9" xfId="3" applyFont="1" applyBorder="1"/>
    <xf numFmtId="0" fontId="13" fillId="0" borderId="10" xfId="3" applyFont="1" applyBorder="1"/>
    <xf numFmtId="0" fontId="16" fillId="0" borderId="12" xfId="3" applyFont="1" applyBorder="1"/>
    <xf numFmtId="0" fontId="16" fillId="0" borderId="11" xfId="3" applyFont="1" applyBorder="1"/>
    <xf numFmtId="0" fontId="13" fillId="0" borderId="4" xfId="3" applyFont="1" applyBorder="1"/>
    <xf numFmtId="0" fontId="15" fillId="0" borderId="0" xfId="3"/>
    <xf numFmtId="0" fontId="16" fillId="0" borderId="5" xfId="3" applyFont="1" applyBorder="1"/>
    <xf numFmtId="0" fontId="0" fillId="10" borderId="6" xfId="0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17" fillId="13" borderId="6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17" fillId="15" borderId="6" xfId="0" applyFont="1" applyFill="1" applyBorder="1" applyAlignment="1">
      <alignment horizontal="center"/>
    </xf>
    <xf numFmtId="0" fontId="17" fillId="17" borderId="6" xfId="0" applyFont="1" applyFill="1" applyBorder="1" applyAlignment="1">
      <alignment horizontal="center"/>
    </xf>
    <xf numFmtId="0" fontId="17" fillId="17" borderId="27" xfId="0" applyFont="1" applyFill="1" applyBorder="1" applyAlignment="1">
      <alignment horizontal="center"/>
    </xf>
    <xf numFmtId="0" fontId="17" fillId="17" borderId="19" xfId="0" applyFont="1" applyFill="1" applyBorder="1" applyAlignment="1">
      <alignment horizontal="center"/>
    </xf>
    <xf numFmtId="0" fontId="20" fillId="16" borderId="21" xfId="0" applyFont="1" applyFill="1" applyBorder="1" applyAlignment="1">
      <alignment horizontal="center"/>
    </xf>
    <xf numFmtId="0" fontId="20" fillId="16" borderId="26" xfId="0" applyFont="1" applyFill="1" applyBorder="1" applyAlignment="1">
      <alignment horizontal="center"/>
    </xf>
    <xf numFmtId="0" fontId="20" fillId="16" borderId="28" xfId="0" applyFont="1" applyFill="1" applyBorder="1" applyAlignment="1">
      <alignment horizontal="center"/>
    </xf>
    <xf numFmtId="0" fontId="17" fillId="17" borderId="25" xfId="0" applyFont="1" applyFill="1" applyBorder="1" applyAlignment="1">
      <alignment horizontal="center"/>
    </xf>
    <xf numFmtId="0" fontId="17" fillId="17" borderId="24" xfId="0" applyFont="1" applyFill="1" applyBorder="1" applyAlignment="1">
      <alignment horizontal="center"/>
    </xf>
    <xf numFmtId="0" fontId="17" fillId="17" borderId="29" xfId="0" applyFont="1" applyFill="1" applyBorder="1" applyAlignment="1">
      <alignment horizontal="center"/>
    </xf>
    <xf numFmtId="167" fontId="17" fillId="17" borderId="27" xfId="0" applyNumberFormat="1" applyFont="1" applyFill="1" applyBorder="1" applyAlignment="1">
      <alignment horizontal="center"/>
    </xf>
    <xf numFmtId="167" fontId="17" fillId="17" borderId="24" xfId="0" applyNumberFormat="1" applyFont="1" applyFill="1" applyBorder="1" applyAlignment="1">
      <alignment horizontal="center"/>
    </xf>
    <xf numFmtId="0" fontId="19" fillId="9" borderId="6" xfId="4" applyBorder="1" applyAlignment="1">
      <alignment horizontal="center"/>
    </xf>
  </cellXfs>
  <cellStyles count="5">
    <cellStyle name="Accent5" xfId="4" builtinId="45"/>
    <cellStyle name="Normal" xfId="0" builtinId="0"/>
    <cellStyle name="Normal 2" xfId="1" xr:uid="{B6AB63B4-4235-4AD2-94F2-9C1792D442D2}"/>
    <cellStyle name="Normal 3" xfId="2" xr:uid="{156164CD-6DDC-4855-BA18-0F7D0D11AD10}"/>
    <cellStyle name="Normal 4" xfId="3" xr:uid="{D13EF38B-A874-47A2-82F2-71A6F3D8246A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d\-mm\-yyyy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880D4-41AD-4308-9950-05B185173134}" name="Table1" displayName="Table1" ref="A22:D27" totalsRowShown="0" headerRowDxfId="1" headerRowBorderDxfId="6" tableBorderDxfId="7" totalsRowBorderDxfId="5">
  <autoFilter ref="A22:D27" xr:uid="{E80880D4-41AD-4308-9950-05B185173134}"/>
  <tableColumns count="4">
    <tableColumn id="1" xr3:uid="{D2E4118C-7F13-4EF9-8AE6-3F36E91F5A17}" name="Employee ID" dataDxfId="4"/>
    <tableColumn id="2" xr3:uid="{4FD7C5BE-E1B4-4A42-A50A-4170BE94D3AB}" name="Joining Date" dataDxfId="0"/>
    <tableColumn id="3" xr3:uid="{A8353DEE-C8FF-4D9A-965E-EE7B93119DB0}" name="Joining Year" dataDxfId="3"/>
    <tableColumn id="4" xr3:uid="{382F8027-3B67-4E8D-89FD-3A38F669C6A0}" name="Joining Mont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1706-EA68-4E17-B7D9-738AB3675A78}">
  <dimension ref="A1:H27"/>
  <sheetViews>
    <sheetView tabSelected="1" workbookViewId="0">
      <selection activeCell="L16" sqref="L16"/>
    </sheetView>
  </sheetViews>
  <sheetFormatPr defaultRowHeight="14.5" x14ac:dyDescent="0.35"/>
  <cols>
    <col min="1" max="1" width="14.1796875" customWidth="1"/>
    <col min="2" max="2" width="13.90625" customWidth="1"/>
    <col min="3" max="3" width="13.7265625" customWidth="1"/>
    <col min="4" max="4" width="15.81640625" customWidth="1"/>
    <col min="5" max="5" width="10.81640625" customWidth="1"/>
    <col min="6" max="6" width="11.1796875" customWidth="1"/>
    <col min="7" max="7" width="13" customWidth="1"/>
    <col min="9" max="9" width="10.26953125" customWidth="1"/>
  </cols>
  <sheetData>
    <row r="1" spans="1:7" x14ac:dyDescent="0.35">
      <c r="A1" s="84" t="s">
        <v>148</v>
      </c>
      <c r="B1" s="84" t="s">
        <v>153</v>
      </c>
      <c r="C1" s="84" t="s">
        <v>154</v>
      </c>
      <c r="D1" s="84" t="s">
        <v>90</v>
      </c>
      <c r="E1" s="31"/>
      <c r="F1" s="31"/>
    </row>
    <row r="2" spans="1:7" x14ac:dyDescent="0.35">
      <c r="A2" s="82" t="s">
        <v>149</v>
      </c>
      <c r="B2" s="82">
        <v>95</v>
      </c>
      <c r="C2" s="82" t="str">
        <f>IF(B2&gt;=90,"A",IF(B2&gt;=80,"B",IF(B2&gt;=60,"C","F")))</f>
        <v>A</v>
      </c>
      <c r="D2" s="82">
        <f>COUNTIFS(B2:B21,"&gt;60")</f>
        <v>3</v>
      </c>
    </row>
    <row r="3" spans="1:7" x14ac:dyDescent="0.35">
      <c r="A3" s="82" t="s">
        <v>150</v>
      </c>
      <c r="B3" s="82">
        <v>85</v>
      </c>
      <c r="C3" s="82" t="str">
        <f t="shared" ref="C3:C5" si="0">IF(B3&gt;=90,"A",IF(B3&gt;=80,"B",IF(B3&gt;=60,"C","F")))</f>
        <v>B</v>
      </c>
      <c r="D3" s="82">
        <f>COUNTIFS(B3:B21,"&gt;60")</f>
        <v>2</v>
      </c>
    </row>
    <row r="4" spans="1:7" x14ac:dyDescent="0.35">
      <c r="A4" s="82" t="s">
        <v>151</v>
      </c>
      <c r="B4" s="82">
        <v>65</v>
      </c>
      <c r="C4" s="82" t="str">
        <f t="shared" si="0"/>
        <v>C</v>
      </c>
      <c r="D4" s="82">
        <f>COUNTIFS(B4:B21,"&gt;60")</f>
        <v>1</v>
      </c>
    </row>
    <row r="5" spans="1:7" x14ac:dyDescent="0.35">
      <c r="A5" s="82" t="s">
        <v>152</v>
      </c>
      <c r="B5" s="82">
        <v>45</v>
      </c>
      <c r="C5" s="82" t="str">
        <f t="shared" si="0"/>
        <v>F</v>
      </c>
      <c r="D5" s="82">
        <f>COUNTIFS(B5:B21,"&gt;60")</f>
        <v>0</v>
      </c>
    </row>
    <row r="8" spans="1:7" x14ac:dyDescent="0.35">
      <c r="A8" s="83" t="s">
        <v>155</v>
      </c>
      <c r="B8" s="83" t="s">
        <v>27</v>
      </c>
      <c r="C8" s="83" t="s">
        <v>159</v>
      </c>
      <c r="D8" s="83" t="s">
        <v>143</v>
      </c>
    </row>
    <row r="9" spans="1:7" x14ac:dyDescent="0.35">
      <c r="A9" s="85" t="s">
        <v>156</v>
      </c>
      <c r="B9" s="85" t="s">
        <v>32</v>
      </c>
      <c r="C9" s="85">
        <v>1200</v>
      </c>
      <c r="D9" s="85">
        <f>VLOOKUP(A9,$A$9:$C$11,3,FALSE)</f>
        <v>1200</v>
      </c>
    </row>
    <row r="10" spans="1:7" x14ac:dyDescent="0.35">
      <c r="A10" s="85" t="s">
        <v>157</v>
      </c>
      <c r="B10" s="85" t="s">
        <v>38</v>
      </c>
      <c r="C10" s="85">
        <v>500</v>
      </c>
      <c r="D10" s="85">
        <f t="shared" ref="D10:D11" si="1">VLOOKUP(A10,$A$9:$C$11,3,FALSE)</f>
        <v>500</v>
      </c>
    </row>
    <row r="11" spans="1:7" x14ac:dyDescent="0.35">
      <c r="A11" s="85" t="s">
        <v>158</v>
      </c>
      <c r="B11" s="85" t="s">
        <v>35</v>
      </c>
      <c r="C11" s="85">
        <v>8500</v>
      </c>
      <c r="D11" s="85">
        <f t="shared" si="1"/>
        <v>8500</v>
      </c>
    </row>
    <row r="14" spans="1:7" x14ac:dyDescent="0.35">
      <c r="A14" s="87" t="s">
        <v>160</v>
      </c>
      <c r="B14" s="87" t="s">
        <v>1</v>
      </c>
      <c r="C14" s="87" t="s">
        <v>62</v>
      </c>
      <c r="D14" s="87" t="s">
        <v>63</v>
      </c>
      <c r="F14" s="87" t="s">
        <v>160</v>
      </c>
      <c r="G14" s="87" t="s">
        <v>161</v>
      </c>
    </row>
    <row r="15" spans="1:7" x14ac:dyDescent="0.35">
      <c r="A15" s="86">
        <v>3001</v>
      </c>
      <c r="B15" s="86" t="s">
        <v>65</v>
      </c>
      <c r="C15" s="86" t="s">
        <v>66</v>
      </c>
      <c r="D15" s="86">
        <v>86766</v>
      </c>
      <c r="F15" s="86">
        <v>3003</v>
      </c>
      <c r="G15" s="86">
        <f>_xlfn.XLOOKUP(F15,$A$15:$A$19,$D$15:$D$19,"Not Found")</f>
        <v>63374</v>
      </c>
    </row>
    <row r="16" spans="1:7" x14ac:dyDescent="0.35">
      <c r="A16" s="86">
        <v>3002</v>
      </c>
      <c r="B16" s="86" t="s">
        <v>67</v>
      </c>
      <c r="C16" s="86" t="s">
        <v>66</v>
      </c>
      <c r="D16" s="86">
        <v>31943</v>
      </c>
      <c r="F16" s="86">
        <v>3005</v>
      </c>
      <c r="G16" s="86">
        <f t="shared" ref="G16:G17" si="2">_xlfn.XLOOKUP(F16,$A$15:$A$19,$D$15:$D$19,"Not Found")</f>
        <v>54149</v>
      </c>
    </row>
    <row r="17" spans="1:8" x14ac:dyDescent="0.35">
      <c r="A17" s="86">
        <v>3003</v>
      </c>
      <c r="B17" s="86" t="s">
        <v>68</v>
      </c>
      <c r="C17" s="86" t="s">
        <v>69</v>
      </c>
      <c r="D17" s="86">
        <v>63374</v>
      </c>
      <c r="F17" s="86">
        <v>3001</v>
      </c>
      <c r="G17" s="86">
        <f t="shared" si="2"/>
        <v>86766</v>
      </c>
    </row>
    <row r="18" spans="1:8" x14ac:dyDescent="0.35">
      <c r="A18" s="86">
        <v>3004</v>
      </c>
      <c r="B18" s="86" t="s">
        <v>70</v>
      </c>
      <c r="C18" s="86" t="s">
        <v>66</v>
      </c>
      <c r="D18" s="86">
        <v>109972</v>
      </c>
    </row>
    <row r="19" spans="1:8" x14ac:dyDescent="0.35">
      <c r="A19" s="86">
        <v>3005</v>
      </c>
      <c r="B19" s="86" t="s">
        <v>71</v>
      </c>
      <c r="C19" s="86" t="s">
        <v>72</v>
      </c>
      <c r="D19" s="86">
        <v>54149</v>
      </c>
    </row>
    <row r="22" spans="1:8" ht="15.5" x14ac:dyDescent="0.35">
      <c r="A22" s="91" t="s">
        <v>61</v>
      </c>
      <c r="B22" s="92" t="s">
        <v>64</v>
      </c>
      <c r="C22" s="93" t="s">
        <v>165</v>
      </c>
      <c r="D22" s="92" t="s">
        <v>166</v>
      </c>
    </row>
    <row r="23" spans="1:8" x14ac:dyDescent="0.35">
      <c r="A23" s="90">
        <v>3001</v>
      </c>
      <c r="B23" s="97">
        <v>42005</v>
      </c>
      <c r="C23" s="88">
        <f>YEAR(B23)</f>
        <v>2015</v>
      </c>
      <c r="D23" s="89" t="str">
        <f>IFERROR(TEXT(B23,"mmmm"),"January")</f>
        <v>January</v>
      </c>
      <c r="F23" s="99" t="str" cm="1">
        <f t="array" ref="F23:H24">_xlfn._xlws.FILTER(A2:C5,B2:B5&gt;80,"No students found")</f>
        <v>Rahul</v>
      </c>
      <c r="G23" s="99">
        <v>95</v>
      </c>
      <c r="H23" s="99" t="str">
        <v>A</v>
      </c>
    </row>
    <row r="24" spans="1:8" x14ac:dyDescent="0.35">
      <c r="A24" s="90">
        <v>3002</v>
      </c>
      <c r="B24" s="97">
        <v>42225</v>
      </c>
      <c r="C24" s="88">
        <v>2015</v>
      </c>
      <c r="D24" s="89" t="s">
        <v>168</v>
      </c>
      <c r="F24" s="99" t="str">
        <v>Priya</v>
      </c>
      <c r="G24" s="99">
        <v>85</v>
      </c>
      <c r="H24" s="99" t="str">
        <v>B</v>
      </c>
    </row>
    <row r="25" spans="1:8" x14ac:dyDescent="0.35">
      <c r="A25" s="90">
        <v>3003</v>
      </c>
      <c r="B25" s="97" t="s">
        <v>162</v>
      </c>
      <c r="C25" s="88">
        <v>2016</v>
      </c>
      <c r="D25" s="89" t="s">
        <v>169</v>
      </c>
    </row>
    <row r="26" spans="1:8" x14ac:dyDescent="0.35">
      <c r="A26" s="90">
        <v>3004</v>
      </c>
      <c r="B26" s="97" t="s">
        <v>163</v>
      </c>
      <c r="C26" s="88">
        <v>2017</v>
      </c>
      <c r="D26" s="89" t="s">
        <v>167</v>
      </c>
    </row>
    <row r="27" spans="1:8" x14ac:dyDescent="0.35">
      <c r="A27" s="94">
        <v>3005</v>
      </c>
      <c r="B27" s="98" t="s">
        <v>164</v>
      </c>
      <c r="C27" s="96">
        <v>2017</v>
      </c>
      <c r="D27" s="95" t="s">
        <v>168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7968-CA0D-4612-8A63-E7E0CCB133A2}">
  <dimension ref="A1:N33"/>
  <sheetViews>
    <sheetView topLeftCell="E17" workbookViewId="0">
      <selection activeCell="F6" sqref="F6"/>
    </sheetView>
  </sheetViews>
  <sheetFormatPr defaultRowHeight="14.5" x14ac:dyDescent="0.35"/>
  <cols>
    <col min="1" max="1" width="10.36328125" customWidth="1"/>
    <col min="2" max="2" width="11.1796875" customWidth="1"/>
    <col min="6" max="6" width="17.81640625" bestFit="1" customWidth="1"/>
    <col min="7" max="7" width="10.7265625" customWidth="1"/>
    <col min="8" max="8" width="11.6328125" customWidth="1"/>
    <col min="9" max="9" width="12.54296875" customWidth="1"/>
    <col min="11" max="11" width="10.36328125" customWidth="1"/>
    <col min="12" max="12" width="11.81640625" customWidth="1"/>
  </cols>
  <sheetData>
    <row r="1" spans="1:14" x14ac:dyDescent="0.3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90</v>
      </c>
      <c r="H1" s="12" t="s">
        <v>89</v>
      </c>
      <c r="I1" s="10" t="s">
        <v>91</v>
      </c>
      <c r="J1" s="14" t="s">
        <v>92</v>
      </c>
      <c r="K1" s="16" t="s">
        <v>93</v>
      </c>
      <c r="L1" s="16" t="s">
        <v>94</v>
      </c>
      <c r="M1" s="16" t="s">
        <v>114</v>
      </c>
      <c r="N1" s="16" t="s">
        <v>115</v>
      </c>
    </row>
    <row r="2" spans="1:14" x14ac:dyDescent="0.35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8">
        <f>COUNTIF(C2:C21,"&gt;=60")</f>
        <v>19</v>
      </c>
      <c r="H2" s="13" t="str">
        <f>IF(C2&gt;=90,"A",IF(C2&gt;=70,"B","C"))</f>
        <v>C</v>
      </c>
      <c r="I2" s="11">
        <f>AVERAGEIFS(C2:C21,C2:C21,"&gt;=60")</f>
        <v>82.263157894736835</v>
      </c>
      <c r="J2" s="15" t="str">
        <f>IF(AND(C2&gt;=80,D2&gt;=80),"Yes","No")</f>
        <v>No</v>
      </c>
      <c r="K2" s="15" t="str">
        <f>UPPER(B2)</f>
        <v>STUDENT 1</v>
      </c>
      <c r="L2" s="15" t="str">
        <f>LOWER(B2)</f>
        <v>student 1</v>
      </c>
      <c r="M2" s="15">
        <f>ROUND(I2,2)</f>
        <v>82.26</v>
      </c>
      <c r="N2" s="15">
        <f>C2*D2*E2</f>
        <v>222528</v>
      </c>
    </row>
    <row r="3" spans="1:14" x14ac:dyDescent="0.35">
      <c r="A3" s="2">
        <v>1002</v>
      </c>
      <c r="B3" s="2" t="s">
        <v>7</v>
      </c>
      <c r="C3" s="2">
        <v>78</v>
      </c>
      <c r="D3" s="2">
        <v>76</v>
      </c>
      <c r="E3" s="2">
        <v>70</v>
      </c>
      <c r="F3" s="3">
        <v>43281</v>
      </c>
      <c r="G3" s="8">
        <v>18</v>
      </c>
      <c r="H3" s="13" t="str">
        <f t="shared" ref="H3:H21" si="0">IF(C3&gt;=90,"A",IF(C3&gt;=70,"B","C"))</f>
        <v>B</v>
      </c>
      <c r="I3" s="11">
        <f t="shared" ref="I3:I21" si="1">AVERAGEIFS(C3:C22,C3:C22,"&gt;=60")</f>
        <v>83.444444444444443</v>
      </c>
      <c r="J3" s="15" t="str">
        <f t="shared" ref="J3:J21" si="2">IF(AND(C3&gt;=80,D3&gt;=80),"Yes","No")</f>
        <v>No</v>
      </c>
      <c r="K3" s="15" t="str">
        <f t="shared" ref="K3:K21" si="3">UPPER(B3)</f>
        <v>STUDENT 2</v>
      </c>
      <c r="L3" s="15" t="s">
        <v>95</v>
      </c>
      <c r="M3" s="15">
        <f t="shared" ref="M3:M21" si="4">ROUND(I3,2)</f>
        <v>83.44</v>
      </c>
      <c r="N3" s="15">
        <f t="shared" ref="N3:N21" si="5">C3*D3*E3</f>
        <v>414960</v>
      </c>
    </row>
    <row r="4" spans="1:14" x14ac:dyDescent="0.35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8">
        <v>17</v>
      </c>
      <c r="H4" s="13" t="str">
        <f t="shared" si="0"/>
        <v>A</v>
      </c>
      <c r="I4" s="11">
        <f t="shared" si="1"/>
        <v>83.764705882352942</v>
      </c>
      <c r="J4" s="15" t="str">
        <f t="shared" si="2"/>
        <v>No</v>
      </c>
      <c r="K4" s="15" t="str">
        <f t="shared" si="3"/>
        <v>STUDENT 3</v>
      </c>
      <c r="L4" s="15" t="s">
        <v>96</v>
      </c>
      <c r="M4" s="15">
        <f t="shared" si="4"/>
        <v>83.76</v>
      </c>
      <c r="N4" s="15">
        <f t="shared" si="5"/>
        <v>296820</v>
      </c>
    </row>
    <row r="5" spans="1:14" x14ac:dyDescent="0.35">
      <c r="A5" s="2">
        <v>1004</v>
      </c>
      <c r="B5" s="2" t="s">
        <v>9</v>
      </c>
      <c r="C5" s="2">
        <v>74</v>
      </c>
      <c r="D5" s="2">
        <v>55</v>
      </c>
      <c r="E5" s="2">
        <v>46</v>
      </c>
      <c r="F5" s="3">
        <v>43641</v>
      </c>
      <c r="G5" s="8">
        <v>16</v>
      </c>
      <c r="H5" s="13" t="str">
        <f t="shared" si="0"/>
        <v>B</v>
      </c>
      <c r="I5" s="11">
        <f t="shared" si="1"/>
        <v>82.9375</v>
      </c>
      <c r="J5" s="15" t="str">
        <f t="shared" si="2"/>
        <v>No</v>
      </c>
      <c r="K5" s="15" t="str">
        <f t="shared" si="3"/>
        <v>STUDENT 4</v>
      </c>
      <c r="L5" s="15" t="s">
        <v>97</v>
      </c>
      <c r="M5" s="15">
        <f t="shared" si="4"/>
        <v>82.94</v>
      </c>
      <c r="N5" s="15">
        <f t="shared" si="5"/>
        <v>187220</v>
      </c>
    </row>
    <row r="6" spans="1:14" x14ac:dyDescent="0.35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8">
        <v>15</v>
      </c>
      <c r="H6" s="13" t="str">
        <f t="shared" si="0"/>
        <v>C</v>
      </c>
      <c r="I6" s="11">
        <f t="shared" si="1"/>
        <v>83.533333333333331</v>
      </c>
      <c r="J6" s="15" t="str">
        <f t="shared" si="2"/>
        <v>No</v>
      </c>
      <c r="K6" s="15" t="str">
        <f t="shared" si="3"/>
        <v>STUDENT 5</v>
      </c>
      <c r="L6" s="15" t="s">
        <v>98</v>
      </c>
      <c r="M6" s="15">
        <f t="shared" si="4"/>
        <v>83.53</v>
      </c>
      <c r="N6" s="15">
        <f t="shared" si="5"/>
        <v>422688</v>
      </c>
    </row>
    <row r="7" spans="1:14" x14ac:dyDescent="0.35">
      <c r="A7" s="2">
        <v>1006</v>
      </c>
      <c r="B7" s="2" t="s">
        <v>11</v>
      </c>
      <c r="C7" s="2">
        <v>80</v>
      </c>
      <c r="D7" s="2">
        <v>70</v>
      </c>
      <c r="E7" s="2">
        <v>65</v>
      </c>
      <c r="F7" s="3">
        <v>44001</v>
      </c>
      <c r="G7" s="8">
        <v>14</v>
      </c>
      <c r="H7" s="13" t="str">
        <f t="shared" si="0"/>
        <v>B</v>
      </c>
      <c r="I7" s="11">
        <f t="shared" si="1"/>
        <v>84.642857142857139</v>
      </c>
      <c r="J7" s="15" t="str">
        <f t="shared" si="2"/>
        <v>No</v>
      </c>
      <c r="K7" s="15" t="str">
        <f t="shared" si="3"/>
        <v>STUDENT 6</v>
      </c>
      <c r="L7" s="15" t="s">
        <v>99</v>
      </c>
      <c r="M7" s="15">
        <f t="shared" si="4"/>
        <v>84.64</v>
      </c>
      <c r="N7" s="15">
        <f t="shared" si="5"/>
        <v>364000</v>
      </c>
    </row>
    <row r="8" spans="1:14" x14ac:dyDescent="0.35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8">
        <v>13</v>
      </c>
      <c r="H8" s="13" t="str">
        <f t="shared" si="0"/>
        <v>B</v>
      </c>
      <c r="I8" s="11">
        <f t="shared" si="1"/>
        <v>85</v>
      </c>
      <c r="J8" s="15" t="str">
        <f t="shared" si="2"/>
        <v>No</v>
      </c>
      <c r="K8" s="15" t="str">
        <f t="shared" si="3"/>
        <v>STUDENT 7</v>
      </c>
      <c r="L8" s="15" t="s">
        <v>100</v>
      </c>
      <c r="M8" s="15">
        <f t="shared" si="4"/>
        <v>85</v>
      </c>
      <c r="N8" s="15">
        <f t="shared" si="5"/>
        <v>274950</v>
      </c>
    </row>
    <row r="9" spans="1:14" x14ac:dyDescent="0.35">
      <c r="A9" s="2">
        <v>1008</v>
      </c>
      <c r="B9" s="2" t="s">
        <v>13</v>
      </c>
      <c r="C9" s="2">
        <v>94</v>
      </c>
      <c r="D9" s="2">
        <v>67</v>
      </c>
      <c r="E9" s="2">
        <v>64</v>
      </c>
      <c r="F9" s="3">
        <v>44361</v>
      </c>
      <c r="G9" s="8">
        <v>12</v>
      </c>
      <c r="H9" s="13" t="str">
        <f t="shared" si="0"/>
        <v>A</v>
      </c>
      <c r="I9" s="11">
        <f t="shared" si="1"/>
        <v>85.833333333333329</v>
      </c>
      <c r="J9" s="15" t="str">
        <f t="shared" si="2"/>
        <v>No</v>
      </c>
      <c r="K9" s="15" t="str">
        <f t="shared" si="3"/>
        <v>STUDENT 8</v>
      </c>
      <c r="L9" s="15" t="s">
        <v>101</v>
      </c>
      <c r="M9" s="15">
        <f t="shared" si="4"/>
        <v>85.83</v>
      </c>
      <c r="N9" s="15">
        <f t="shared" si="5"/>
        <v>403072</v>
      </c>
    </row>
    <row r="10" spans="1:14" x14ac:dyDescent="0.35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8">
        <v>11</v>
      </c>
      <c r="H10" s="13" t="str">
        <f t="shared" si="0"/>
        <v>C</v>
      </c>
      <c r="I10" s="11">
        <f t="shared" si="1"/>
        <v>85.090909090909093</v>
      </c>
      <c r="J10" s="15" t="str">
        <f t="shared" si="2"/>
        <v>No</v>
      </c>
      <c r="K10" s="15" t="str">
        <f t="shared" si="3"/>
        <v>STUDENT 9</v>
      </c>
      <c r="L10" s="15" t="s">
        <v>102</v>
      </c>
      <c r="M10" s="15">
        <f t="shared" si="4"/>
        <v>85.09</v>
      </c>
      <c r="N10" s="15">
        <f t="shared" si="5"/>
        <v>172200</v>
      </c>
    </row>
    <row r="11" spans="1:14" x14ac:dyDescent="0.35">
      <c r="A11" s="2">
        <v>1010</v>
      </c>
      <c r="B11" s="2" t="s">
        <v>15</v>
      </c>
      <c r="C11" s="2">
        <v>98</v>
      </c>
      <c r="D11" s="2">
        <v>54</v>
      </c>
      <c r="E11" s="2">
        <v>58</v>
      </c>
      <c r="F11" s="3">
        <v>44721</v>
      </c>
      <c r="G11" s="8">
        <v>11</v>
      </c>
      <c r="H11" s="13" t="str">
        <f t="shared" si="0"/>
        <v>A</v>
      </c>
      <c r="I11" s="11">
        <f t="shared" si="1"/>
        <v>85.090909090909093</v>
      </c>
      <c r="J11" s="15" t="str">
        <f t="shared" si="2"/>
        <v>No</v>
      </c>
      <c r="K11" s="15" t="str">
        <f t="shared" si="3"/>
        <v>STUDENT 10</v>
      </c>
      <c r="L11" s="15" t="s">
        <v>103</v>
      </c>
      <c r="M11" s="15">
        <f t="shared" si="4"/>
        <v>85.09</v>
      </c>
      <c r="N11" s="15">
        <f t="shared" si="5"/>
        <v>306936</v>
      </c>
    </row>
    <row r="12" spans="1:14" x14ac:dyDescent="0.35">
      <c r="A12" s="2">
        <v>1011</v>
      </c>
      <c r="B12" s="2" t="s">
        <v>16</v>
      </c>
      <c r="C12" s="5">
        <v>73</v>
      </c>
      <c r="D12" s="2">
        <v>79</v>
      </c>
      <c r="E12" s="2">
        <v>53</v>
      </c>
      <c r="F12" s="3">
        <v>44901</v>
      </c>
      <c r="G12" s="8">
        <v>10</v>
      </c>
      <c r="H12" s="13" t="str">
        <f t="shared" si="0"/>
        <v>B</v>
      </c>
      <c r="I12" s="11">
        <f t="shared" si="1"/>
        <v>83.8</v>
      </c>
      <c r="J12" s="15" t="str">
        <f t="shared" si="2"/>
        <v>No</v>
      </c>
      <c r="K12" s="15" t="str">
        <f t="shared" si="3"/>
        <v>STUDENT 11</v>
      </c>
      <c r="L12" s="15" t="s">
        <v>104</v>
      </c>
      <c r="M12" s="15">
        <f t="shared" si="4"/>
        <v>83.8</v>
      </c>
      <c r="N12" s="15">
        <f t="shared" si="5"/>
        <v>305651</v>
      </c>
    </row>
    <row r="13" spans="1:14" x14ac:dyDescent="0.35">
      <c r="A13" s="2">
        <v>1012</v>
      </c>
      <c r="B13" s="2" t="s">
        <v>17</v>
      </c>
      <c r="C13" s="2">
        <v>85</v>
      </c>
      <c r="D13" s="2">
        <v>89</v>
      </c>
      <c r="E13" s="2">
        <v>79</v>
      </c>
      <c r="F13" s="3">
        <v>45081</v>
      </c>
      <c r="G13" s="8">
        <v>9</v>
      </c>
      <c r="H13" s="13" t="str">
        <f t="shared" si="0"/>
        <v>B</v>
      </c>
      <c r="I13" s="11">
        <f t="shared" si="1"/>
        <v>85</v>
      </c>
      <c r="J13" s="15" t="str">
        <f t="shared" si="2"/>
        <v>Yes</v>
      </c>
      <c r="K13" s="15" t="str">
        <f t="shared" si="3"/>
        <v>STUDENT 12</v>
      </c>
      <c r="L13" s="15" t="s">
        <v>105</v>
      </c>
      <c r="M13" s="15">
        <f t="shared" si="4"/>
        <v>85</v>
      </c>
      <c r="N13" s="15">
        <f t="shared" si="5"/>
        <v>597635</v>
      </c>
    </row>
    <row r="14" spans="1:14" x14ac:dyDescent="0.35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8">
        <v>8</v>
      </c>
      <c r="H14" s="13" t="str">
        <f t="shared" si="0"/>
        <v>A</v>
      </c>
      <c r="I14" s="11">
        <f t="shared" si="1"/>
        <v>85</v>
      </c>
      <c r="J14" s="15" t="str">
        <f t="shared" si="2"/>
        <v>Yes</v>
      </c>
      <c r="K14" s="15" t="str">
        <f t="shared" si="3"/>
        <v>STUDENT 13</v>
      </c>
      <c r="L14" s="15" t="s">
        <v>106</v>
      </c>
      <c r="M14" s="15">
        <f t="shared" si="4"/>
        <v>85</v>
      </c>
      <c r="N14" s="15">
        <f t="shared" si="5"/>
        <v>855540</v>
      </c>
    </row>
    <row r="15" spans="1:14" x14ac:dyDescent="0.35">
      <c r="A15" s="6">
        <v>1014</v>
      </c>
      <c r="B15" s="2" t="s">
        <v>19</v>
      </c>
      <c r="C15" s="2">
        <v>93</v>
      </c>
      <c r="D15" s="2">
        <v>40</v>
      </c>
      <c r="E15" s="2">
        <v>44</v>
      </c>
      <c r="F15" s="3">
        <v>45441</v>
      </c>
      <c r="G15" s="8">
        <v>7</v>
      </c>
      <c r="H15" s="13" t="str">
        <f t="shared" si="0"/>
        <v>A</v>
      </c>
      <c r="I15" s="11">
        <f t="shared" si="1"/>
        <v>83.142857142857139</v>
      </c>
      <c r="J15" s="15" t="str">
        <f t="shared" si="2"/>
        <v>No</v>
      </c>
      <c r="K15" s="15" t="str">
        <f t="shared" si="3"/>
        <v>STUDENT 14</v>
      </c>
      <c r="L15" s="15" t="s">
        <v>107</v>
      </c>
      <c r="M15" s="15">
        <f t="shared" si="4"/>
        <v>83.14</v>
      </c>
      <c r="N15" s="15">
        <f t="shared" si="5"/>
        <v>163680</v>
      </c>
    </row>
    <row r="16" spans="1:14" x14ac:dyDescent="0.35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8">
        <v>6</v>
      </c>
      <c r="H16" s="13" t="str">
        <f t="shared" si="0"/>
        <v>B</v>
      </c>
      <c r="I16" s="11">
        <f t="shared" si="1"/>
        <v>81.5</v>
      </c>
      <c r="J16" s="15" t="str">
        <f t="shared" si="2"/>
        <v>No</v>
      </c>
      <c r="K16" s="15" t="str">
        <f t="shared" si="3"/>
        <v>STUDENT 15</v>
      </c>
      <c r="L16" s="15" t="s">
        <v>108</v>
      </c>
      <c r="M16" s="15">
        <f t="shared" si="4"/>
        <v>81.5</v>
      </c>
      <c r="N16" s="15">
        <f t="shared" si="5"/>
        <v>267750</v>
      </c>
    </row>
    <row r="17" spans="1:14" x14ac:dyDescent="0.35">
      <c r="A17" s="2">
        <v>1016</v>
      </c>
      <c r="B17" s="2" t="s">
        <v>21</v>
      </c>
      <c r="C17" s="2">
        <v>98</v>
      </c>
      <c r="D17" s="2">
        <v>77</v>
      </c>
      <c r="E17" s="2">
        <v>60</v>
      </c>
      <c r="F17" s="3">
        <v>45801</v>
      </c>
      <c r="G17" s="8">
        <v>5</v>
      </c>
      <c r="H17" s="13" t="str">
        <f t="shared" si="0"/>
        <v>A</v>
      </c>
      <c r="I17" s="11">
        <f t="shared" si="1"/>
        <v>83.8</v>
      </c>
      <c r="J17" s="15" t="str">
        <f t="shared" si="2"/>
        <v>No</v>
      </c>
      <c r="K17" s="15" t="str">
        <f t="shared" si="3"/>
        <v>STUDENT 16</v>
      </c>
      <c r="L17" s="15" t="s">
        <v>109</v>
      </c>
      <c r="M17" s="15">
        <f t="shared" si="4"/>
        <v>83.8</v>
      </c>
      <c r="N17" s="15">
        <f t="shared" si="5"/>
        <v>452760</v>
      </c>
    </row>
    <row r="18" spans="1:14" x14ac:dyDescent="0.35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8">
        <v>4</v>
      </c>
      <c r="H18" s="13" t="str">
        <f t="shared" si="0"/>
        <v>C</v>
      </c>
      <c r="I18" s="11">
        <f t="shared" si="1"/>
        <v>80.25</v>
      </c>
      <c r="J18" s="15" t="str">
        <f t="shared" si="2"/>
        <v>No</v>
      </c>
      <c r="K18" s="15" t="str">
        <f t="shared" si="3"/>
        <v>STUDENT 17</v>
      </c>
      <c r="L18" s="15" t="s">
        <v>110</v>
      </c>
      <c r="M18" s="15">
        <f t="shared" si="4"/>
        <v>80.25</v>
      </c>
      <c r="N18" s="15">
        <f t="shared" si="5"/>
        <v>155760</v>
      </c>
    </row>
    <row r="19" spans="1:14" x14ac:dyDescent="0.35">
      <c r="A19" s="2">
        <v>1018</v>
      </c>
      <c r="B19" s="2" t="s">
        <v>23</v>
      </c>
      <c r="C19" s="2">
        <v>82</v>
      </c>
      <c r="D19" s="2">
        <v>48</v>
      </c>
      <c r="E19" s="2">
        <v>79</v>
      </c>
      <c r="F19" s="3">
        <v>46161</v>
      </c>
      <c r="G19" s="8">
        <v>3</v>
      </c>
      <c r="H19" s="13" t="str">
        <f t="shared" si="0"/>
        <v>B</v>
      </c>
      <c r="I19" s="11">
        <f t="shared" si="1"/>
        <v>85</v>
      </c>
      <c r="J19" s="15" t="str">
        <f t="shared" si="2"/>
        <v>No</v>
      </c>
      <c r="K19" s="15" t="str">
        <f t="shared" si="3"/>
        <v>STUDENT 18</v>
      </c>
      <c r="L19" s="15" t="s">
        <v>111</v>
      </c>
      <c r="M19" s="15">
        <f t="shared" si="4"/>
        <v>85</v>
      </c>
      <c r="N19" s="15">
        <f t="shared" si="5"/>
        <v>310944</v>
      </c>
    </row>
    <row r="20" spans="1:14" x14ac:dyDescent="0.35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8">
        <v>2</v>
      </c>
      <c r="H20" s="13" t="str">
        <f t="shared" si="0"/>
        <v>A</v>
      </c>
      <c r="I20" s="11">
        <f t="shared" si="1"/>
        <v>86.5</v>
      </c>
      <c r="J20" s="15" t="str">
        <f t="shared" si="2"/>
        <v>No</v>
      </c>
      <c r="K20" s="15" t="str">
        <f t="shared" si="3"/>
        <v>STUDENT 19</v>
      </c>
      <c r="L20" s="15" t="s">
        <v>112</v>
      </c>
      <c r="M20" s="15">
        <f t="shared" si="4"/>
        <v>86.5</v>
      </c>
      <c r="N20" s="15">
        <f t="shared" si="5"/>
        <v>421200</v>
      </c>
    </row>
    <row r="21" spans="1:14" x14ac:dyDescent="0.35">
      <c r="A21" s="2">
        <v>1020</v>
      </c>
      <c r="B21" s="2" t="s">
        <v>25</v>
      </c>
      <c r="C21" s="2">
        <v>83</v>
      </c>
      <c r="D21" s="2">
        <v>92</v>
      </c>
      <c r="E21" s="2">
        <v>55</v>
      </c>
      <c r="F21" s="3">
        <v>46521</v>
      </c>
      <c r="G21" s="8">
        <v>1</v>
      </c>
      <c r="H21" s="13" t="str">
        <f t="shared" si="0"/>
        <v>B</v>
      </c>
      <c r="I21" s="11">
        <f t="shared" si="1"/>
        <v>83</v>
      </c>
      <c r="J21" s="15" t="str">
        <f t="shared" si="2"/>
        <v>Yes</v>
      </c>
      <c r="K21" s="15" t="str">
        <f t="shared" si="3"/>
        <v>STUDENT 20</v>
      </c>
      <c r="L21" s="15" t="s">
        <v>113</v>
      </c>
      <c r="M21" s="15">
        <f t="shared" si="4"/>
        <v>83</v>
      </c>
      <c r="N21" s="15">
        <f t="shared" si="5"/>
        <v>419980</v>
      </c>
    </row>
    <row r="22" spans="1:14" x14ac:dyDescent="0.35">
      <c r="G22" s="7"/>
      <c r="I22" s="7"/>
      <c r="N22" s="15"/>
    </row>
    <row r="23" spans="1:14" x14ac:dyDescent="0.35">
      <c r="A23" s="7"/>
      <c r="I23" s="7"/>
    </row>
    <row r="24" spans="1:14" x14ac:dyDescent="0.35">
      <c r="A24" s="44" t="s">
        <v>121</v>
      </c>
      <c r="B24" s="45"/>
      <c r="C24" s="45"/>
      <c r="D24" s="45"/>
      <c r="E24" s="45"/>
      <c r="F24" s="46"/>
    </row>
    <row r="25" spans="1:14" x14ac:dyDescent="0.35">
      <c r="A25" s="50" t="s">
        <v>132</v>
      </c>
      <c r="B25" s="51"/>
      <c r="C25" s="47" t="s">
        <v>131</v>
      </c>
      <c r="D25" s="48"/>
      <c r="E25" s="48"/>
      <c r="F25" s="49"/>
    </row>
    <row r="26" spans="1:14" x14ac:dyDescent="0.35">
      <c r="A26" s="52" t="s">
        <v>129</v>
      </c>
      <c r="B26" s="53"/>
      <c r="C26" s="25" t="s">
        <v>130</v>
      </c>
      <c r="D26" s="24"/>
      <c r="E26" s="26"/>
      <c r="F26" s="27"/>
    </row>
    <row r="27" spans="1:14" x14ac:dyDescent="0.35">
      <c r="A27" s="32" t="s">
        <v>90</v>
      </c>
      <c r="B27" s="33"/>
      <c r="C27" s="36" t="s">
        <v>128</v>
      </c>
      <c r="D27" s="37"/>
      <c r="E27" s="37"/>
      <c r="F27" s="38"/>
      <c r="G27" s="24"/>
      <c r="H27" s="26"/>
    </row>
    <row r="28" spans="1:14" x14ac:dyDescent="0.35">
      <c r="A28" s="32" t="s">
        <v>124</v>
      </c>
      <c r="B28" s="33"/>
      <c r="C28" s="32" t="s">
        <v>125</v>
      </c>
      <c r="D28" s="42"/>
      <c r="E28" s="42"/>
      <c r="F28" s="43"/>
    </row>
    <row r="29" spans="1:14" x14ac:dyDescent="0.35">
      <c r="A29" s="32" t="s">
        <v>92</v>
      </c>
      <c r="B29" s="33"/>
      <c r="C29" s="25" t="s">
        <v>126</v>
      </c>
      <c r="D29" s="24"/>
      <c r="E29" s="26"/>
      <c r="F29" s="27"/>
    </row>
    <row r="30" spans="1:14" x14ac:dyDescent="0.35">
      <c r="A30" s="32" t="s">
        <v>93</v>
      </c>
      <c r="B30" s="33"/>
      <c r="C30" s="36" t="s">
        <v>133</v>
      </c>
      <c r="D30" s="37"/>
      <c r="E30" s="37"/>
      <c r="F30" s="38"/>
    </row>
    <row r="31" spans="1:14" x14ac:dyDescent="0.35">
      <c r="A31" s="32" t="s">
        <v>94</v>
      </c>
      <c r="B31" s="33"/>
      <c r="C31" s="36" t="s">
        <v>134</v>
      </c>
      <c r="D31" s="37"/>
      <c r="E31" s="37"/>
      <c r="F31" s="38"/>
    </row>
    <row r="32" spans="1:14" x14ac:dyDescent="0.35">
      <c r="A32" s="32" t="s">
        <v>114</v>
      </c>
      <c r="B32" s="33"/>
      <c r="C32" s="36" t="s">
        <v>135</v>
      </c>
      <c r="D32" s="37"/>
      <c r="E32" s="37"/>
      <c r="F32" s="38"/>
    </row>
    <row r="33" spans="1:6" x14ac:dyDescent="0.35">
      <c r="A33" s="34" t="s">
        <v>127</v>
      </c>
      <c r="B33" s="35"/>
      <c r="C33" s="39" t="s">
        <v>136</v>
      </c>
      <c r="D33" s="40"/>
      <c r="E33" s="40"/>
      <c r="F33" s="41"/>
    </row>
  </sheetData>
  <mergeCells count="17">
    <mergeCell ref="C27:F27"/>
    <mergeCell ref="A24:F24"/>
    <mergeCell ref="C25:F25"/>
    <mergeCell ref="C30:F30"/>
    <mergeCell ref="C31:F31"/>
    <mergeCell ref="A31:B31"/>
    <mergeCell ref="A25:B25"/>
    <mergeCell ref="A26:B26"/>
    <mergeCell ref="A27:B27"/>
    <mergeCell ref="A32:B32"/>
    <mergeCell ref="A33:B33"/>
    <mergeCell ref="C32:F32"/>
    <mergeCell ref="C33:F33"/>
    <mergeCell ref="A28:B28"/>
    <mergeCell ref="A29:B29"/>
    <mergeCell ref="A30:B30"/>
    <mergeCell ref="C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75FB-0884-4FA1-905C-69298A10A476}">
  <dimension ref="A1:J28"/>
  <sheetViews>
    <sheetView workbookViewId="0">
      <selection activeCell="I29" sqref="I29"/>
    </sheetView>
  </sheetViews>
  <sheetFormatPr defaultRowHeight="14.5" x14ac:dyDescent="0.35"/>
  <cols>
    <col min="2" max="2" width="9.54296875" customWidth="1"/>
    <col min="4" max="4" width="10.36328125" customWidth="1"/>
    <col min="6" max="6" width="17.81640625" bestFit="1" customWidth="1"/>
    <col min="8" max="8" width="11.54296875" customWidth="1"/>
    <col min="9" max="9" width="11.90625" customWidth="1"/>
    <col min="10" max="10" width="12" customWidth="1"/>
  </cols>
  <sheetData>
    <row r="1" spans="1:10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4" t="s">
        <v>116</v>
      </c>
      <c r="H1" s="14" t="s">
        <v>117</v>
      </c>
      <c r="I1" s="30" t="s">
        <v>141</v>
      </c>
      <c r="J1" s="28" t="s">
        <v>140</v>
      </c>
    </row>
    <row r="2" spans="1:10" x14ac:dyDescent="0.35">
      <c r="A2" s="2">
        <v>2001</v>
      </c>
      <c r="B2" s="2" t="s">
        <v>32</v>
      </c>
      <c r="C2" s="2" t="s">
        <v>33</v>
      </c>
      <c r="D2" s="2" t="s">
        <v>34</v>
      </c>
      <c r="E2" s="2">
        <v>7048</v>
      </c>
      <c r="F2" s="3">
        <v>44927</v>
      </c>
      <c r="G2" s="15">
        <f>SUMIFS($E$2:$E$21,$C$2:$C$21,C2)</f>
        <v>73188</v>
      </c>
      <c r="H2" s="15" t="str">
        <f>IF(OR(E2&gt;=7000,B2="Keyboard"),"Eligible","Not Eligible")</f>
        <v>Eligible</v>
      </c>
      <c r="I2" s="17">
        <v>0.18</v>
      </c>
      <c r="J2" s="15">
        <f>E2*$I$2</f>
        <v>1268.6399999999999</v>
      </c>
    </row>
    <row r="3" spans="1:10" x14ac:dyDescent="0.35">
      <c r="A3" s="2">
        <v>2002</v>
      </c>
      <c r="B3" s="2" t="s">
        <v>35</v>
      </c>
      <c r="C3" s="2" t="s">
        <v>36</v>
      </c>
      <c r="D3" s="2" t="s">
        <v>37</v>
      </c>
      <c r="E3" s="2">
        <v>17428</v>
      </c>
      <c r="F3" s="3">
        <v>44942</v>
      </c>
      <c r="G3" s="15">
        <f t="shared" ref="G3:G21" si="0">SUMIFS($E$2:$E$21,$C$2:$C$21,C3)</f>
        <v>119978</v>
      </c>
      <c r="H3" s="15" t="str">
        <f t="shared" ref="H3:H21" si="1">IF(OR(E3&gt;=7000,B3="Keyboard"),"Eligible","Not Eligible")</f>
        <v>Eligible</v>
      </c>
      <c r="I3" s="17"/>
      <c r="J3" s="15">
        <v>3137.04</v>
      </c>
    </row>
    <row r="4" spans="1:10" x14ac:dyDescent="0.35">
      <c r="A4" s="2">
        <v>2003</v>
      </c>
      <c r="B4" s="2" t="s">
        <v>38</v>
      </c>
      <c r="C4" s="2" t="s">
        <v>33</v>
      </c>
      <c r="D4" s="2" t="s">
        <v>39</v>
      </c>
      <c r="E4" s="2">
        <v>23672</v>
      </c>
      <c r="F4" s="3">
        <v>44957</v>
      </c>
      <c r="G4" s="15">
        <f t="shared" si="0"/>
        <v>73188</v>
      </c>
      <c r="H4" s="15" t="str">
        <f t="shared" si="1"/>
        <v>Eligible</v>
      </c>
      <c r="I4" s="17"/>
      <c r="J4" s="15">
        <v>4260.96</v>
      </c>
    </row>
    <row r="5" spans="1:10" x14ac:dyDescent="0.35">
      <c r="A5" s="2">
        <v>2004</v>
      </c>
      <c r="B5" s="2" t="s">
        <v>35</v>
      </c>
      <c r="C5" s="2" t="s">
        <v>40</v>
      </c>
      <c r="D5" s="2" t="s">
        <v>41</v>
      </c>
      <c r="E5" s="2">
        <v>5264</v>
      </c>
      <c r="F5" s="3">
        <v>44972</v>
      </c>
      <c r="G5" s="15">
        <f t="shared" si="0"/>
        <v>173932</v>
      </c>
      <c r="H5" s="15" t="str">
        <f t="shared" si="1"/>
        <v>Not Eligible</v>
      </c>
      <c r="I5" s="17"/>
      <c r="J5" s="15">
        <v>947.52</v>
      </c>
    </row>
    <row r="6" spans="1:10" x14ac:dyDescent="0.35">
      <c r="A6" s="2">
        <v>2005</v>
      </c>
      <c r="B6" s="2" t="s">
        <v>32</v>
      </c>
      <c r="C6" s="2" t="s">
        <v>42</v>
      </c>
      <c r="D6" s="2" t="s">
        <v>43</v>
      </c>
      <c r="E6" s="2">
        <v>43388</v>
      </c>
      <c r="F6" s="3">
        <v>44987</v>
      </c>
      <c r="G6" s="15">
        <f t="shared" si="0"/>
        <v>140627</v>
      </c>
      <c r="H6" s="15" t="str">
        <f t="shared" si="1"/>
        <v>Eligible</v>
      </c>
      <c r="I6" s="17"/>
      <c r="J6" s="15">
        <v>7809.84</v>
      </c>
    </row>
    <row r="7" spans="1:10" x14ac:dyDescent="0.35">
      <c r="A7" s="2">
        <v>2006</v>
      </c>
      <c r="B7" s="2" t="s">
        <v>38</v>
      </c>
      <c r="C7" s="2" t="s">
        <v>42</v>
      </c>
      <c r="D7" s="2" t="s">
        <v>44</v>
      </c>
      <c r="E7" s="2">
        <v>19757</v>
      </c>
      <c r="F7" s="3">
        <v>45002</v>
      </c>
      <c r="G7" s="15">
        <f t="shared" si="0"/>
        <v>140627</v>
      </c>
      <c r="H7" s="15" t="str">
        <f t="shared" si="1"/>
        <v>Eligible</v>
      </c>
      <c r="I7" s="29"/>
      <c r="J7" s="15">
        <v>3556.2599999999998</v>
      </c>
    </row>
    <row r="8" spans="1:10" x14ac:dyDescent="0.35">
      <c r="A8" s="2">
        <v>2007</v>
      </c>
      <c r="B8" s="2" t="s">
        <v>38</v>
      </c>
      <c r="C8" s="2" t="s">
        <v>40</v>
      </c>
      <c r="D8" s="2" t="s">
        <v>45</v>
      </c>
      <c r="E8" s="2">
        <v>32058</v>
      </c>
      <c r="F8" s="3">
        <v>45017</v>
      </c>
      <c r="G8" s="15">
        <f t="shared" si="0"/>
        <v>173932</v>
      </c>
      <c r="H8" s="15" t="str">
        <f t="shared" si="1"/>
        <v>Eligible</v>
      </c>
      <c r="I8" s="17"/>
      <c r="J8" s="15">
        <v>5770.44</v>
      </c>
    </row>
    <row r="9" spans="1:10" x14ac:dyDescent="0.35">
      <c r="A9" s="2">
        <v>2008</v>
      </c>
      <c r="B9" s="2" t="s">
        <v>32</v>
      </c>
      <c r="C9" s="2" t="s">
        <v>40</v>
      </c>
      <c r="D9" s="2" t="s">
        <v>46</v>
      </c>
      <c r="E9" s="2">
        <v>46429</v>
      </c>
      <c r="F9" s="3">
        <v>45032</v>
      </c>
      <c r="G9" s="15">
        <f t="shared" si="0"/>
        <v>173932</v>
      </c>
      <c r="H9" s="15" t="str">
        <f t="shared" si="1"/>
        <v>Eligible</v>
      </c>
      <c r="I9" s="17"/>
      <c r="J9" s="15">
        <v>8357.2199999999993</v>
      </c>
    </row>
    <row r="10" spans="1:10" x14ac:dyDescent="0.35">
      <c r="A10" s="2">
        <v>2009</v>
      </c>
      <c r="B10" s="2" t="s">
        <v>35</v>
      </c>
      <c r="C10" s="2" t="s">
        <v>40</v>
      </c>
      <c r="D10" s="2" t="s">
        <v>47</v>
      </c>
      <c r="E10" s="2">
        <v>19746</v>
      </c>
      <c r="F10" s="3">
        <v>45047</v>
      </c>
      <c r="G10" s="15">
        <f t="shared" si="0"/>
        <v>173932</v>
      </c>
      <c r="H10" s="15" t="str">
        <f t="shared" si="1"/>
        <v>Eligible</v>
      </c>
      <c r="I10" s="17"/>
      <c r="J10" s="15">
        <v>3554.2799999999997</v>
      </c>
    </row>
    <row r="11" spans="1:10" x14ac:dyDescent="0.35">
      <c r="A11" s="2">
        <v>2010</v>
      </c>
      <c r="B11" s="2" t="s">
        <v>32</v>
      </c>
      <c r="C11" s="2" t="s">
        <v>33</v>
      </c>
      <c r="D11" s="2" t="s">
        <v>48</v>
      </c>
      <c r="E11" s="2">
        <v>35185</v>
      </c>
      <c r="F11" s="3">
        <v>45062</v>
      </c>
      <c r="G11" s="15">
        <f t="shared" si="0"/>
        <v>73188</v>
      </c>
      <c r="H11" s="15" t="str">
        <f t="shared" si="1"/>
        <v>Eligible</v>
      </c>
      <c r="I11" s="17"/>
      <c r="J11" s="15">
        <v>6333.3</v>
      </c>
    </row>
    <row r="12" spans="1:10" x14ac:dyDescent="0.35">
      <c r="A12" s="2">
        <v>2011</v>
      </c>
      <c r="B12" s="2" t="s">
        <v>32</v>
      </c>
      <c r="C12" s="2" t="s">
        <v>40</v>
      </c>
      <c r="D12" s="2" t="s">
        <v>49</v>
      </c>
      <c r="E12" s="2">
        <v>33920</v>
      </c>
      <c r="F12" s="3">
        <v>45077</v>
      </c>
      <c r="G12" s="15">
        <f t="shared" si="0"/>
        <v>173932</v>
      </c>
      <c r="H12" s="15" t="str">
        <f t="shared" si="1"/>
        <v>Eligible</v>
      </c>
      <c r="I12" s="17"/>
      <c r="J12" s="15">
        <v>6105.5999999999995</v>
      </c>
    </row>
    <row r="13" spans="1:10" x14ac:dyDescent="0.35">
      <c r="A13" s="2">
        <v>2012</v>
      </c>
      <c r="B13" s="2" t="s">
        <v>50</v>
      </c>
      <c r="C13" s="2" t="s">
        <v>42</v>
      </c>
      <c r="D13" s="2" t="s">
        <v>51</v>
      </c>
      <c r="E13" s="2">
        <v>35611</v>
      </c>
      <c r="F13" s="3">
        <v>45092</v>
      </c>
      <c r="G13" s="15">
        <f t="shared" si="0"/>
        <v>140627</v>
      </c>
      <c r="H13" s="15" t="str">
        <f t="shared" si="1"/>
        <v>Eligible</v>
      </c>
      <c r="I13" s="17"/>
      <c r="J13" s="15">
        <v>6409.98</v>
      </c>
    </row>
    <row r="14" spans="1:10" x14ac:dyDescent="0.35">
      <c r="A14" s="2">
        <v>2013</v>
      </c>
      <c r="B14" s="2" t="s">
        <v>52</v>
      </c>
      <c r="C14" s="2" t="s">
        <v>40</v>
      </c>
      <c r="D14" s="2" t="s">
        <v>53</v>
      </c>
      <c r="E14" s="2">
        <v>15560</v>
      </c>
      <c r="F14" s="3">
        <v>45107</v>
      </c>
      <c r="G14" s="15">
        <f t="shared" si="0"/>
        <v>173932</v>
      </c>
      <c r="H14" s="15" t="str">
        <f t="shared" si="1"/>
        <v>Eligible</v>
      </c>
      <c r="I14" s="17"/>
      <c r="J14" s="15">
        <v>2800.7999999999997</v>
      </c>
    </row>
    <row r="15" spans="1:10" x14ac:dyDescent="0.35">
      <c r="A15" s="2">
        <v>2014</v>
      </c>
      <c r="B15" s="2" t="s">
        <v>52</v>
      </c>
      <c r="C15" s="2" t="s">
        <v>33</v>
      </c>
      <c r="D15" s="2" t="s">
        <v>54</v>
      </c>
      <c r="E15" s="2">
        <v>7283</v>
      </c>
      <c r="F15" s="3">
        <v>45122</v>
      </c>
      <c r="G15" s="15">
        <f t="shared" si="0"/>
        <v>73188</v>
      </c>
      <c r="H15" s="15" t="str">
        <f t="shared" si="1"/>
        <v>Eligible</v>
      </c>
      <c r="I15" s="17"/>
      <c r="J15" s="15">
        <v>1310.94</v>
      </c>
    </row>
    <row r="16" spans="1:10" x14ac:dyDescent="0.35">
      <c r="A16" s="2">
        <v>2015</v>
      </c>
      <c r="B16" s="2" t="s">
        <v>52</v>
      </c>
      <c r="C16" s="2" t="s">
        <v>40</v>
      </c>
      <c r="D16" s="2" t="s">
        <v>55</v>
      </c>
      <c r="E16" s="2">
        <v>15678</v>
      </c>
      <c r="F16" s="3">
        <v>45137</v>
      </c>
      <c r="G16" s="15">
        <f t="shared" si="0"/>
        <v>173932</v>
      </c>
      <c r="H16" s="15" t="str">
        <f t="shared" si="1"/>
        <v>Eligible</v>
      </c>
      <c r="I16" s="17"/>
      <c r="J16" s="15">
        <v>2822.04</v>
      </c>
    </row>
    <row r="17" spans="1:10" x14ac:dyDescent="0.35">
      <c r="A17" s="2">
        <v>2016</v>
      </c>
      <c r="B17" s="2" t="s">
        <v>38</v>
      </c>
      <c r="C17" s="2" t="s">
        <v>40</v>
      </c>
      <c r="D17" s="2" t="s">
        <v>56</v>
      </c>
      <c r="E17" s="2">
        <v>5277</v>
      </c>
      <c r="F17" s="3">
        <v>45152</v>
      </c>
      <c r="G17" s="15">
        <f t="shared" si="0"/>
        <v>173932</v>
      </c>
      <c r="H17" s="15" t="str">
        <f t="shared" si="1"/>
        <v>Not Eligible</v>
      </c>
      <c r="I17" s="17"/>
      <c r="J17" s="15">
        <v>949.86</v>
      </c>
    </row>
    <row r="18" spans="1:10" x14ac:dyDescent="0.35">
      <c r="A18" s="2">
        <v>2017</v>
      </c>
      <c r="B18" s="2" t="s">
        <v>50</v>
      </c>
      <c r="C18" s="2" t="s">
        <v>42</v>
      </c>
      <c r="D18" s="2" t="s">
        <v>57</v>
      </c>
      <c r="E18" s="2">
        <v>41871</v>
      </c>
      <c r="F18" s="3">
        <v>45167</v>
      </c>
      <c r="G18" s="15">
        <f t="shared" si="0"/>
        <v>140627</v>
      </c>
      <c r="H18" s="15" t="str">
        <f t="shared" si="1"/>
        <v>Eligible</v>
      </c>
      <c r="I18" s="17"/>
      <c r="J18" s="15">
        <v>7536.78</v>
      </c>
    </row>
    <row r="19" spans="1:10" x14ac:dyDescent="0.35">
      <c r="A19" s="2">
        <v>2018</v>
      </c>
      <c r="B19" s="2" t="s">
        <v>50</v>
      </c>
      <c r="C19" s="2" t="s">
        <v>36</v>
      </c>
      <c r="D19" s="2" t="s">
        <v>58</v>
      </c>
      <c r="E19" s="2">
        <v>38161</v>
      </c>
      <c r="F19" s="3">
        <v>45182</v>
      </c>
      <c r="G19" s="15">
        <f t="shared" si="0"/>
        <v>119978</v>
      </c>
      <c r="H19" s="15" t="str">
        <f t="shared" si="1"/>
        <v>Eligible</v>
      </c>
      <c r="I19" s="17"/>
      <c r="J19" s="15">
        <v>6868.98</v>
      </c>
    </row>
    <row r="20" spans="1:10" x14ac:dyDescent="0.35">
      <c r="A20" s="2">
        <v>2019</v>
      </c>
      <c r="B20" s="2" t="s">
        <v>38</v>
      </c>
      <c r="C20" s="2" t="s">
        <v>36</v>
      </c>
      <c r="D20" s="2" t="s">
        <v>59</v>
      </c>
      <c r="E20" s="2">
        <v>30436</v>
      </c>
      <c r="F20" s="3">
        <v>45197</v>
      </c>
      <c r="G20" s="15">
        <f t="shared" si="0"/>
        <v>119978</v>
      </c>
      <c r="H20" s="15" t="str">
        <f t="shared" si="1"/>
        <v>Eligible</v>
      </c>
      <c r="I20" s="17"/>
      <c r="J20" s="15">
        <v>5478.48</v>
      </c>
    </row>
    <row r="21" spans="1:10" x14ac:dyDescent="0.35">
      <c r="A21" s="2">
        <v>2020</v>
      </c>
      <c r="B21" s="2" t="s">
        <v>35</v>
      </c>
      <c r="C21" s="2" t="s">
        <v>36</v>
      </c>
      <c r="D21" s="2" t="s">
        <v>60</v>
      </c>
      <c r="E21" s="2">
        <v>33953</v>
      </c>
      <c r="F21" s="3">
        <v>45212</v>
      </c>
      <c r="G21" s="15">
        <f t="shared" si="0"/>
        <v>119978</v>
      </c>
      <c r="H21" s="15" t="str">
        <f t="shared" si="1"/>
        <v>Eligible</v>
      </c>
      <c r="I21" s="17"/>
      <c r="J21" s="15">
        <v>6111.54</v>
      </c>
    </row>
    <row r="24" spans="1:10" x14ac:dyDescent="0.35">
      <c r="A24" s="54" t="s">
        <v>121</v>
      </c>
      <c r="B24" s="55"/>
      <c r="C24" s="55"/>
      <c r="D24" s="55"/>
      <c r="E24" s="55"/>
      <c r="F24" s="56"/>
    </row>
    <row r="25" spans="1:10" x14ac:dyDescent="0.35">
      <c r="A25" s="57" t="s">
        <v>122</v>
      </c>
      <c r="B25" s="56"/>
      <c r="C25" s="57" t="s">
        <v>123</v>
      </c>
      <c r="D25" s="55"/>
      <c r="E25" s="55"/>
      <c r="F25" s="56"/>
    </row>
    <row r="26" spans="1:10" x14ac:dyDescent="0.35">
      <c r="A26" s="64" t="s">
        <v>116</v>
      </c>
      <c r="B26" s="65"/>
      <c r="C26" s="64" t="s">
        <v>138</v>
      </c>
      <c r="D26" s="67"/>
      <c r="E26" s="67"/>
      <c r="F26" s="65"/>
    </row>
    <row r="27" spans="1:10" x14ac:dyDescent="0.35">
      <c r="A27" s="58" t="s">
        <v>117</v>
      </c>
      <c r="B27" s="59"/>
      <c r="C27" s="58" t="s">
        <v>139</v>
      </c>
      <c r="D27" s="66"/>
      <c r="E27" s="66"/>
      <c r="F27" s="59"/>
    </row>
    <row r="28" spans="1:10" x14ac:dyDescent="0.35">
      <c r="A28" s="60" t="s">
        <v>137</v>
      </c>
      <c r="B28" s="61"/>
      <c r="C28" s="62" t="s">
        <v>142</v>
      </c>
      <c r="D28" s="63"/>
      <c r="E28" s="63"/>
      <c r="F28" s="61"/>
    </row>
  </sheetData>
  <mergeCells count="9">
    <mergeCell ref="A24:F24"/>
    <mergeCell ref="C25:F25"/>
    <mergeCell ref="A27:B27"/>
    <mergeCell ref="A28:B28"/>
    <mergeCell ref="C28:F28"/>
    <mergeCell ref="A25:B25"/>
    <mergeCell ref="A26:B26"/>
    <mergeCell ref="C27:F27"/>
    <mergeCell ref="C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6781-922D-4143-A81F-1CE18B3AE42A}">
  <dimension ref="A1:K28"/>
  <sheetViews>
    <sheetView workbookViewId="0">
      <selection activeCell="C28" sqref="C28:F28"/>
    </sheetView>
  </sheetViews>
  <sheetFormatPr defaultRowHeight="14.5" x14ac:dyDescent="0.35"/>
  <cols>
    <col min="1" max="1" width="11.90625" customWidth="1"/>
    <col min="2" max="2" width="12.08984375" customWidth="1"/>
    <col min="3" max="3" width="12.6328125" customWidth="1"/>
    <col min="4" max="4" width="9.08984375" customWidth="1"/>
    <col min="5" max="5" width="17.81640625" bestFit="1" customWidth="1"/>
    <col min="7" max="7" width="12.7265625" customWidth="1"/>
    <col min="8" max="8" width="15.1796875" customWidth="1"/>
    <col min="9" max="9" width="15" customWidth="1"/>
  </cols>
  <sheetData>
    <row r="1" spans="1:11" x14ac:dyDescent="0.35">
      <c r="A1" s="1" t="s">
        <v>61</v>
      </c>
      <c r="B1" s="1" t="s">
        <v>1</v>
      </c>
      <c r="C1" s="1" t="s">
        <v>62</v>
      </c>
      <c r="D1" s="1" t="s">
        <v>63</v>
      </c>
      <c r="E1" s="1" t="s">
        <v>64</v>
      </c>
      <c r="F1" s="68" t="s">
        <v>118</v>
      </c>
      <c r="G1" s="56"/>
      <c r="H1" s="21" t="s">
        <v>120</v>
      </c>
      <c r="I1" s="21" t="s">
        <v>119</v>
      </c>
    </row>
    <row r="2" spans="1:11" x14ac:dyDescent="0.35">
      <c r="A2" s="2">
        <v>3001</v>
      </c>
      <c r="B2" s="2" t="s">
        <v>65</v>
      </c>
      <c r="C2" s="2" t="s">
        <v>66</v>
      </c>
      <c r="D2" s="2">
        <v>86766</v>
      </c>
      <c r="E2" s="3">
        <v>42005</v>
      </c>
      <c r="F2" s="18">
        <f>A2</f>
        <v>3001</v>
      </c>
      <c r="G2" s="8" t="str">
        <f>VLOOKUP(A2,$A$2:$E$21,2,FALSE)</f>
        <v>Employee 1</v>
      </c>
      <c r="H2" s="22" t="str">
        <f>_xlfn.XLOOKUP($F$2,$A$2:$A$21,$B$2:$B$21,"Not Found")</f>
        <v>Employee 1</v>
      </c>
      <c r="I2" s="11">
        <f>INDEX($D$2:$D$21,MATCH(A2,$A$2:$A$21,0))</f>
        <v>86766</v>
      </c>
      <c r="J2" s="19"/>
      <c r="K2" s="20"/>
    </row>
    <row r="3" spans="1:11" x14ac:dyDescent="0.35">
      <c r="A3" s="2">
        <v>3002</v>
      </c>
      <c r="B3" s="2" t="s">
        <v>67</v>
      </c>
      <c r="C3" s="2" t="s">
        <v>66</v>
      </c>
      <c r="D3" s="2">
        <v>31943</v>
      </c>
      <c r="E3" s="3">
        <v>42255</v>
      </c>
      <c r="F3" s="18">
        <v>3001</v>
      </c>
      <c r="G3" s="8" t="s">
        <v>67</v>
      </c>
      <c r="H3" s="23" t="str">
        <f>_xlfn.XLOOKUP(F3,A2:A100,B2:B100,"Not Found")</f>
        <v>Employee 1</v>
      </c>
      <c r="I3" s="11">
        <f>INDEX($D$2:$D$21,MATCH(A3,$A$2:$A$21,0))</f>
        <v>31943</v>
      </c>
    </row>
    <row r="4" spans="1:11" x14ac:dyDescent="0.35">
      <c r="A4" s="2">
        <v>3003</v>
      </c>
      <c r="B4" s="2" t="s">
        <v>68</v>
      </c>
      <c r="C4" s="2" t="s">
        <v>69</v>
      </c>
      <c r="D4" s="2">
        <v>63374</v>
      </c>
      <c r="E4" s="3">
        <v>42505</v>
      </c>
      <c r="F4" s="18">
        <v>3001</v>
      </c>
      <c r="G4" s="8" t="s">
        <v>68</v>
      </c>
      <c r="H4" s="23" t="str">
        <f>_xlfn.XLOOKUP(F4,A2:A100,B2:B100,"Not Found")</f>
        <v>Employee 1</v>
      </c>
      <c r="I4" s="11">
        <v>63374</v>
      </c>
    </row>
    <row r="5" spans="1:11" x14ac:dyDescent="0.35">
      <c r="A5" s="2">
        <v>3004</v>
      </c>
      <c r="B5" s="2" t="s">
        <v>70</v>
      </c>
      <c r="C5" s="2" t="s">
        <v>66</v>
      </c>
      <c r="D5" s="2">
        <v>109972</v>
      </c>
      <c r="E5" s="3">
        <v>42755</v>
      </c>
      <c r="F5" s="18">
        <v>3001</v>
      </c>
      <c r="G5" s="8" t="s">
        <v>70</v>
      </c>
      <c r="H5" s="23" t="str">
        <f>_xlfn.XLOOKUP(F5,A2:A100,B2:B100,"Not Found")</f>
        <v>Employee 1</v>
      </c>
      <c r="I5" s="11">
        <v>109972</v>
      </c>
    </row>
    <row r="6" spans="1:11" x14ac:dyDescent="0.35">
      <c r="A6" s="2">
        <v>3005</v>
      </c>
      <c r="B6" s="2" t="s">
        <v>71</v>
      </c>
      <c r="C6" s="2" t="s">
        <v>72</v>
      </c>
      <c r="D6" s="2">
        <v>54149</v>
      </c>
      <c r="E6" s="3">
        <v>43005</v>
      </c>
      <c r="F6" s="18">
        <v>3001</v>
      </c>
      <c r="G6" s="8" t="s">
        <v>71</v>
      </c>
      <c r="H6" s="23" t="str">
        <f>_xlfn.XLOOKUP(F6,A2:A100,B2:B100,"Not Found")</f>
        <v>Employee 1</v>
      </c>
      <c r="I6" s="11">
        <v>54149</v>
      </c>
    </row>
    <row r="7" spans="1:11" x14ac:dyDescent="0.35">
      <c r="A7" s="2">
        <v>3006</v>
      </c>
      <c r="B7" s="2" t="s">
        <v>73</v>
      </c>
      <c r="C7" s="2" t="s">
        <v>72</v>
      </c>
      <c r="D7" s="2">
        <v>78689</v>
      </c>
      <c r="E7" s="3">
        <v>43255</v>
      </c>
      <c r="F7" s="18">
        <v>3001</v>
      </c>
      <c r="G7" s="8" t="s">
        <v>73</v>
      </c>
      <c r="H7" s="23" t="str">
        <f t="shared" ref="H7:H13" si="0">_xlfn.XLOOKUP(F6,$A$2:$A$100,$B$2:$B$100,"Not Found")</f>
        <v>Employee 1</v>
      </c>
      <c r="I7" s="11">
        <v>78689</v>
      </c>
    </row>
    <row r="8" spans="1:11" x14ac:dyDescent="0.35">
      <c r="A8" s="2">
        <v>3007</v>
      </c>
      <c r="B8" s="2" t="s">
        <v>74</v>
      </c>
      <c r="C8" s="2" t="s">
        <v>75</v>
      </c>
      <c r="D8" s="2">
        <v>35960</v>
      </c>
      <c r="E8" s="3">
        <v>43505</v>
      </c>
      <c r="F8" s="18">
        <v>3001</v>
      </c>
      <c r="G8" s="8" t="s">
        <v>74</v>
      </c>
      <c r="H8" s="23" t="str">
        <f t="shared" si="0"/>
        <v>Employee 1</v>
      </c>
      <c r="I8" s="11">
        <v>35960</v>
      </c>
    </row>
    <row r="9" spans="1:11" x14ac:dyDescent="0.35">
      <c r="A9" s="2">
        <v>3008</v>
      </c>
      <c r="B9" s="2" t="s">
        <v>76</v>
      </c>
      <c r="C9" s="2" t="s">
        <v>72</v>
      </c>
      <c r="D9" s="2">
        <v>91659</v>
      </c>
      <c r="E9" s="3">
        <v>43755</v>
      </c>
      <c r="F9" s="18">
        <v>3001</v>
      </c>
      <c r="G9" s="8" t="s">
        <v>76</v>
      </c>
      <c r="H9" s="23" t="str">
        <f t="shared" si="0"/>
        <v>Employee 1</v>
      </c>
      <c r="I9" s="11">
        <v>91659</v>
      </c>
    </row>
    <row r="10" spans="1:11" x14ac:dyDescent="0.35">
      <c r="A10" s="2">
        <v>3009</v>
      </c>
      <c r="B10" s="2" t="s">
        <v>77</v>
      </c>
      <c r="C10" s="2" t="s">
        <v>72</v>
      </c>
      <c r="D10" s="2">
        <v>90423</v>
      </c>
      <c r="E10" s="3">
        <v>44005</v>
      </c>
      <c r="F10" s="18">
        <v>3001</v>
      </c>
      <c r="G10" s="8" t="s">
        <v>77</v>
      </c>
      <c r="H10" s="23" t="str">
        <f t="shared" si="0"/>
        <v>Employee 1</v>
      </c>
      <c r="I10" s="11">
        <v>90423</v>
      </c>
    </row>
    <row r="11" spans="1:11" x14ac:dyDescent="0.35">
      <c r="A11" s="2">
        <v>3010</v>
      </c>
      <c r="B11" s="2" t="s">
        <v>78</v>
      </c>
      <c r="C11" s="2" t="s">
        <v>69</v>
      </c>
      <c r="D11" s="2">
        <v>107877</v>
      </c>
      <c r="E11" s="3">
        <v>44255</v>
      </c>
      <c r="F11" s="18">
        <v>3001</v>
      </c>
      <c r="G11" s="8" t="s">
        <v>78</v>
      </c>
      <c r="H11" s="23" t="str">
        <f t="shared" si="0"/>
        <v>Employee 1</v>
      </c>
      <c r="I11" s="11">
        <v>107877</v>
      </c>
    </row>
    <row r="12" spans="1:11" x14ac:dyDescent="0.35">
      <c r="A12" s="2">
        <v>3011</v>
      </c>
      <c r="B12" s="2" t="s">
        <v>79</v>
      </c>
      <c r="C12" s="2" t="s">
        <v>66</v>
      </c>
      <c r="D12" s="2">
        <v>107634</v>
      </c>
      <c r="E12" s="3">
        <v>44505</v>
      </c>
      <c r="F12" s="18">
        <v>3001</v>
      </c>
      <c r="G12" s="8" t="s">
        <v>79</v>
      </c>
      <c r="H12" s="23" t="str">
        <f t="shared" si="0"/>
        <v>Employee 1</v>
      </c>
      <c r="I12" s="11">
        <v>107634</v>
      </c>
    </row>
    <row r="13" spans="1:11" x14ac:dyDescent="0.35">
      <c r="A13" s="2">
        <v>3012</v>
      </c>
      <c r="B13" s="2" t="s">
        <v>80</v>
      </c>
      <c r="C13" s="2" t="s">
        <v>66</v>
      </c>
      <c r="D13" s="2">
        <v>35226</v>
      </c>
      <c r="E13" s="3">
        <v>44755</v>
      </c>
      <c r="F13" s="18">
        <v>3001</v>
      </c>
      <c r="G13" s="8" t="s">
        <v>80</v>
      </c>
      <c r="H13" s="23" t="str">
        <f t="shared" si="0"/>
        <v>Employee 1</v>
      </c>
      <c r="I13" s="11">
        <v>35226</v>
      </c>
    </row>
    <row r="14" spans="1:11" x14ac:dyDescent="0.35">
      <c r="A14" s="2">
        <v>3013</v>
      </c>
      <c r="B14" s="2" t="s">
        <v>81</v>
      </c>
      <c r="C14" s="2" t="s">
        <v>69</v>
      </c>
      <c r="D14" s="2">
        <v>40872</v>
      </c>
      <c r="E14" s="3">
        <v>45005</v>
      </c>
      <c r="F14" s="18">
        <v>3001</v>
      </c>
      <c r="G14" s="8" t="s">
        <v>81</v>
      </c>
      <c r="H14" s="23" t="str">
        <f t="shared" ref="H14:H20" si="1">_xlfn.XLOOKUP(F14,$A$2:$A$100,$B$2:$B$100,"Not Found")</f>
        <v>Employee 1</v>
      </c>
      <c r="I14" s="11">
        <v>40872</v>
      </c>
    </row>
    <row r="15" spans="1:11" x14ac:dyDescent="0.35">
      <c r="A15" s="2">
        <v>3014</v>
      </c>
      <c r="B15" s="2" t="s">
        <v>82</v>
      </c>
      <c r="C15" s="2" t="s">
        <v>69</v>
      </c>
      <c r="D15" s="2">
        <v>55378</v>
      </c>
      <c r="E15" s="3">
        <v>45255</v>
      </c>
      <c r="F15" s="18">
        <v>3001</v>
      </c>
      <c r="G15" s="8" t="s">
        <v>82</v>
      </c>
      <c r="H15" s="23" t="str">
        <f t="shared" si="1"/>
        <v>Employee 1</v>
      </c>
      <c r="I15" s="11">
        <v>55378</v>
      </c>
    </row>
    <row r="16" spans="1:11" x14ac:dyDescent="0.35">
      <c r="A16" s="2">
        <v>3015</v>
      </c>
      <c r="B16" s="2" t="s">
        <v>83</v>
      </c>
      <c r="C16" s="2" t="s">
        <v>69</v>
      </c>
      <c r="D16" s="2">
        <v>63297</v>
      </c>
      <c r="E16" s="3">
        <v>45505</v>
      </c>
      <c r="F16" s="18">
        <v>3001</v>
      </c>
      <c r="G16" s="8" t="s">
        <v>83</v>
      </c>
      <c r="H16" s="23" t="str">
        <f t="shared" si="1"/>
        <v>Employee 1</v>
      </c>
      <c r="I16" s="11">
        <v>63297</v>
      </c>
    </row>
    <row r="17" spans="1:9" x14ac:dyDescent="0.35">
      <c r="A17" s="2">
        <v>3016</v>
      </c>
      <c r="B17" s="2" t="s">
        <v>84</v>
      </c>
      <c r="C17" s="2" t="s">
        <v>66</v>
      </c>
      <c r="D17" s="2">
        <v>114173</v>
      </c>
      <c r="E17" s="3">
        <v>45755</v>
      </c>
      <c r="F17" s="18">
        <v>3001</v>
      </c>
      <c r="G17" s="8" t="s">
        <v>84</v>
      </c>
      <c r="H17" s="23" t="str">
        <f t="shared" si="1"/>
        <v>Employee 1</v>
      </c>
      <c r="I17" s="11">
        <v>114173</v>
      </c>
    </row>
    <row r="18" spans="1:9" x14ac:dyDescent="0.35">
      <c r="A18" s="2">
        <v>3017</v>
      </c>
      <c r="B18" s="2" t="s">
        <v>85</v>
      </c>
      <c r="C18" s="2" t="s">
        <v>69</v>
      </c>
      <c r="D18" s="2">
        <v>86915</v>
      </c>
      <c r="E18" s="3">
        <v>46005</v>
      </c>
      <c r="F18" s="18">
        <v>3001</v>
      </c>
      <c r="G18" s="8" t="s">
        <v>85</v>
      </c>
      <c r="H18" s="23" t="str">
        <f t="shared" si="1"/>
        <v>Employee 1</v>
      </c>
      <c r="I18" s="11">
        <v>86915</v>
      </c>
    </row>
    <row r="19" spans="1:9" x14ac:dyDescent="0.35">
      <c r="A19" s="2">
        <v>3018</v>
      </c>
      <c r="B19" s="2" t="s">
        <v>86</v>
      </c>
      <c r="C19" s="2" t="s">
        <v>72</v>
      </c>
      <c r="D19" s="2">
        <v>116284</v>
      </c>
      <c r="E19" s="3">
        <v>46255</v>
      </c>
      <c r="F19" s="18">
        <v>3001</v>
      </c>
      <c r="G19" s="8" t="s">
        <v>86</v>
      </c>
      <c r="H19" s="23" t="str">
        <f t="shared" si="1"/>
        <v>Employee 1</v>
      </c>
      <c r="I19" s="11">
        <v>116284</v>
      </c>
    </row>
    <row r="20" spans="1:9" x14ac:dyDescent="0.35">
      <c r="A20" s="2">
        <v>3019</v>
      </c>
      <c r="B20" s="2" t="s">
        <v>87</v>
      </c>
      <c r="C20" s="2" t="s">
        <v>75</v>
      </c>
      <c r="D20" s="2">
        <v>116283</v>
      </c>
      <c r="E20" s="3">
        <v>46505</v>
      </c>
      <c r="F20" s="18">
        <v>3001</v>
      </c>
      <c r="G20" s="8" t="s">
        <v>87</v>
      </c>
      <c r="H20" s="23" t="str">
        <f t="shared" si="1"/>
        <v>Employee 1</v>
      </c>
      <c r="I20" s="11">
        <v>116283</v>
      </c>
    </row>
    <row r="21" spans="1:9" x14ac:dyDescent="0.35">
      <c r="A21" s="2">
        <v>3020</v>
      </c>
      <c r="B21" s="2" t="s">
        <v>88</v>
      </c>
      <c r="C21" s="2" t="s">
        <v>75</v>
      </c>
      <c r="D21" s="2">
        <v>99924</v>
      </c>
      <c r="E21" s="3">
        <v>46755</v>
      </c>
      <c r="F21" s="18">
        <v>3001</v>
      </c>
      <c r="G21" s="8" t="s">
        <v>88</v>
      </c>
      <c r="H21" s="22" t="s">
        <v>65</v>
      </c>
      <c r="I21" s="11">
        <v>99924</v>
      </c>
    </row>
    <row r="22" spans="1:9" x14ac:dyDescent="0.35">
      <c r="H22" s="22"/>
    </row>
    <row r="24" spans="1:9" x14ac:dyDescent="0.35">
      <c r="A24" s="74" t="s">
        <v>121</v>
      </c>
      <c r="B24" s="75"/>
      <c r="C24" s="75"/>
      <c r="D24" s="75"/>
      <c r="E24" s="75"/>
      <c r="F24" s="73"/>
    </row>
    <row r="25" spans="1:9" x14ac:dyDescent="0.35">
      <c r="A25" s="72" t="s">
        <v>122</v>
      </c>
      <c r="B25" s="73"/>
      <c r="C25" s="72" t="s">
        <v>123</v>
      </c>
      <c r="D25" s="75"/>
      <c r="E25" s="75"/>
      <c r="F25" s="73"/>
    </row>
    <row r="26" spans="1:9" x14ac:dyDescent="0.35">
      <c r="A26" s="76" t="s">
        <v>143</v>
      </c>
      <c r="B26" s="77"/>
      <c r="C26" s="76" t="s">
        <v>145</v>
      </c>
      <c r="D26" s="78"/>
      <c r="E26" s="78"/>
      <c r="F26" s="77"/>
    </row>
    <row r="27" spans="1:9" x14ac:dyDescent="0.35">
      <c r="A27" s="79" t="s">
        <v>120</v>
      </c>
      <c r="B27" s="81"/>
      <c r="C27" s="79" t="s">
        <v>146</v>
      </c>
      <c r="D27" s="80"/>
      <c r="E27" s="80"/>
      <c r="F27" s="81"/>
    </row>
    <row r="28" spans="1:9" x14ac:dyDescent="0.35">
      <c r="A28" s="69" t="s">
        <v>144</v>
      </c>
      <c r="B28" s="70"/>
      <c r="C28" s="69" t="s">
        <v>147</v>
      </c>
      <c r="D28" s="71"/>
      <c r="E28" s="71"/>
      <c r="F28" s="70"/>
    </row>
  </sheetData>
  <mergeCells count="10">
    <mergeCell ref="F1:G1"/>
    <mergeCell ref="A28:B28"/>
    <mergeCell ref="C28:F28"/>
    <mergeCell ref="A25:B25"/>
    <mergeCell ref="A24:F24"/>
    <mergeCell ref="C25:F25"/>
    <mergeCell ref="A26:B26"/>
    <mergeCell ref="C26:F26"/>
    <mergeCell ref="C27:F27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task</vt:lpstr>
      <vt:lpstr>Student Name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Sonigra Vaibhavi</dc:creator>
  <cp:lastModifiedBy>Sonigra Vaibhavi</cp:lastModifiedBy>
  <dcterms:created xsi:type="dcterms:W3CDTF">2026-10-24T14:37:41Z</dcterms:created>
  <dcterms:modified xsi:type="dcterms:W3CDTF">2026-10-28T18:00:36Z</dcterms:modified>
</cp:coreProperties>
</file>